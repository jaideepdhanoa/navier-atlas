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Assumptions" sheetId="2" state="visible" r:id="rId2"/>
    <sheet name="Country opex" sheetId="3" state="visible" r:id="rId3"/>
    <sheet name="Corridor economics" sheetId="4" state="visible" r:id="rId4"/>
    <sheet name="Market sizing" sheetId="5" state="visible" r:id="rId5"/>
  </sheets>
  <definedNames>
    <definedName name="pax_cap">'Assumptions'!$B$5</definedName>
    <definedName name="range_nm">'Assumptions'!$B$6</definedName>
    <definedName name="cruise_kt">'Assumptions'!$B$7</definedName>
    <definedName name="capex">'Assumptions'!$B$8</definedName>
    <definedName name="battery">'Assumptions'!$B$9</definedName>
    <definedName name="maint">'Assumptions'!$B$10</definedName>
    <definedName name="dep_years">'Assumptions'!$B$11</definedName>
    <definedName name="diesel_nmpg">'Assumptions'!$B$12</definedName>
    <definedName name="service_hr">'Assumptions'!$B$16</definedName>
    <definedName name="turn_min">'Assumptions'!$B$17</definedName>
    <definedName name="dwell_min">'Assumptions'!$B$18</definedName>
    <definedName name="max_tpd">'Assumptions'!$B$19</definedName>
    <definedName name="crew_factor">'Assumptions'!$B$20</definedName>
    <definedName name="ins_pct">'Assumptions'!$B$21</definedName>
    <definedName name="charge_berth">'Assumptions'!$B$22</definedName>
    <definedName name="mech_uptime">'Assumptions'!$B$23</definedName>
    <definedName name="capture">'Assumptions'!$B$24</definedName>
    <definedName name="capture_captive">'Assumptions'!$B$25</definedName>
    <definedName name="discount">'Assumptions'!$B$26</definedName>
    <definedName name="diesel_co2pg">'Assumptions'!$B$27</definedName>
    <definedName name="load_thin">'Assumptions'!$B$31</definedName>
    <definedName name="revleg_thin">'Assumptions'!$C$31</definedName>
    <definedName name="load_mid">'Assumptions'!$B$32</definedName>
    <definedName name="revleg_mid">'Assumptions'!$C$32</definedName>
    <definedName name="load_full">'Assumptions'!$B$33</definedName>
    <definedName name="revleg_full">'Assumptions'!$C$33</definedName>
    <definedName name="band_tbl">'Assumptions'!$A$31:$C$33</definedName>
    <definedName name="scenario">'Assumptions'!$B$35</definedName>
    <definedName name="load_sel">'Assumptions'!$B$36</definedName>
    <definedName name="revleg_sel">'Assumptions'!$B$37</definedName>
    <definedName name="country_opex">'Country opex'!$A$4:$G$21</definedName>
    <definedName name="som_floor_fleet">'Corridor economics'!$D$228</definedName>
    <definedName name="som_floor_rev">'Corridor economics'!$E$228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"/>
    <numFmt numFmtId="165" formatCode="0.0%"/>
    <numFmt numFmtId="166" formatCode="&quot;$&quot;#,##0.00"/>
    <numFmt numFmtId="167" formatCode="#,##0.0"/>
  </numFmts>
  <fonts count="13">
    <font>
      <name val="Calibri"/>
      <family val="2"/>
      <color theme="1"/>
      <sz val="11"/>
      <scheme val="minor"/>
    </font>
    <font>
      <b val="1"/>
      <color rgb="00FFFFFF"/>
      <sz val="16"/>
    </font>
    <font>
      <b val="1"/>
    </font>
    <font>
      <name val="Consolas"/>
      <sz val="10"/>
    </font>
    <font>
      <b val="1"/>
      <color rgb="00FFFFFF"/>
      <sz val="12"/>
    </font>
    <font>
      <b val="1"/>
      <color rgb="00FFFFFF"/>
      <sz val="9"/>
    </font>
    <font>
      <color rgb="00555555"/>
      <sz val="9"/>
    </font>
    <font>
      <b val="1"/>
      <sz val="12"/>
    </font>
    <font>
      <sz val="9"/>
    </font>
    <font>
      <color rgb="00555555"/>
      <sz val="8"/>
    </font>
    <font>
      <color rgb="009C4500"/>
      <sz val="8"/>
    </font>
    <font>
      <b val="1"/>
      <i val="1"/>
      <sz val="9"/>
    </font>
    <font>
      <i val="1"/>
      <sz val="9"/>
    </font>
  </fonts>
  <fills count="9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DCE6F1"/>
      </patternFill>
    </fill>
    <fill>
      <patternFill patternType="solid">
        <fgColor rgb="00FFF2CC"/>
      </patternFill>
    </fill>
    <fill>
      <patternFill patternType="solid">
        <fgColor rgb="00EAF3EA"/>
      </patternFill>
    </fill>
    <fill>
      <patternFill patternType="solid">
        <fgColor rgb="002E5A88"/>
      </patternFill>
    </fill>
    <fill>
      <patternFill patternType="solid">
        <fgColor rgb="00FCE4D6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5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3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4" fillId="2" borderId="0" pivotButton="0" quotePrefix="0" xfId="0"/>
    <xf numFmtId="0" fontId="4" fillId="6" borderId="0" pivotButton="0" quotePrefix="0" xfId="0"/>
    <xf numFmtId="0" fontId="5" fillId="6" borderId="1" applyAlignment="1" pivotButton="0" quotePrefix="0" xfId="0">
      <alignment horizontal="center" vertical="center"/>
    </xf>
    <xf numFmtId="0" fontId="0" fillId="0" borderId="1" pivotButton="0" quotePrefix="0" xfId="0"/>
    <xf numFmtId="3" fontId="2" fillId="4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vertical="top" wrapText="1"/>
    </xf>
    <xf numFmtId="164" fontId="2" fillId="4" borderId="1" applyAlignment="1" pivotButton="0" quotePrefix="0" xfId="0">
      <alignment horizontal="center" vertical="center"/>
    </xf>
    <xf numFmtId="4" fontId="2" fillId="4" borderId="1" applyAlignment="1" pivotButton="0" quotePrefix="0" xfId="0">
      <alignment horizontal="center" vertical="center"/>
    </xf>
    <xf numFmtId="165" fontId="2" fillId="4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4" fontId="0" fillId="4" borderId="1" applyAlignment="1" pivotButton="0" quotePrefix="0" xfId="0">
      <alignment horizontal="center" vertical="center"/>
    </xf>
    <xf numFmtId="0" fontId="2" fillId="7" borderId="1" pivotButton="0" quotePrefix="0" xfId="0"/>
    <xf numFmtId="0" fontId="7" fillId="7" borderId="1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4" fontId="0" fillId="5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 wrapText="1"/>
    </xf>
    <xf numFmtId="0" fontId="2" fillId="0" borderId="1" pivotButton="0" quotePrefix="0" xfId="0"/>
    <xf numFmtId="164" fontId="0" fillId="4" borderId="1" applyAlignment="1" pivotButton="0" quotePrefix="0" xfId="0">
      <alignment horizontal="center" vertical="center"/>
    </xf>
    <xf numFmtId="166" fontId="0" fillId="4" borderId="1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 vertical="center"/>
    </xf>
    <xf numFmtId="0" fontId="6" fillId="4" borderId="1" pivotButton="0" quotePrefix="0" xfId="0"/>
    <xf numFmtId="0" fontId="8" fillId="4" borderId="1" applyAlignment="1" pivotButton="0" quotePrefix="0" xfId="0">
      <alignment vertical="top" wrapText="1"/>
    </xf>
    <xf numFmtId="3" fontId="0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167" fontId="8" fillId="5" borderId="1" applyAlignment="1" pivotButton="0" quotePrefix="0" xfId="0">
      <alignment horizontal="center" vertical="center"/>
    </xf>
    <xf numFmtId="3" fontId="8" fillId="5" borderId="1" applyAlignment="1" pivotButton="0" quotePrefix="0" xfId="0">
      <alignment horizontal="center" vertical="center"/>
    </xf>
    <xf numFmtId="165" fontId="8" fillId="5" borderId="1" applyAlignment="1" pivotButton="0" quotePrefix="0" xfId="0">
      <alignment horizontal="center" vertical="center"/>
    </xf>
    <xf numFmtId="4" fontId="8" fillId="5" borderId="1" applyAlignment="1" pivotButton="0" quotePrefix="0" xfId="0">
      <alignment horizontal="center" vertical="center"/>
    </xf>
    <xf numFmtId="166" fontId="8" fillId="5" borderId="1" applyAlignment="1" pivotButton="0" quotePrefix="0" xfId="0">
      <alignment horizontal="center" vertical="center"/>
    </xf>
    <xf numFmtId="164" fontId="8" fillId="5" borderId="1" applyAlignment="1" pivotButton="0" quotePrefix="0" xfId="0">
      <alignment horizontal="center" vertical="center"/>
    </xf>
    <xf numFmtId="165" fontId="0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vertical="top" wrapText="1"/>
    </xf>
    <xf numFmtId="0" fontId="10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4" fontId="8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vertical="top" wrapText="1"/>
    </xf>
    <xf numFmtId="0" fontId="2" fillId="3" borderId="1" pivotButton="0" quotePrefix="0" xfId="0"/>
    <xf numFmtId="164" fontId="2" fillId="3" borderId="1" applyAlignment="1" pivotButton="0" quotePrefix="0" xfId="0">
      <alignment horizontal="center" vertical="center"/>
    </xf>
    <xf numFmtId="165" fontId="2" fillId="3" borderId="1" applyAlignment="1" pivotButton="0" quotePrefix="0" xfId="0">
      <alignment horizontal="center" vertical="center"/>
    </xf>
    <xf numFmtId="3" fontId="2" fillId="3" borderId="1" applyAlignment="1" pivotButton="0" quotePrefix="0" xfId="0">
      <alignment horizontal="center" vertical="center"/>
    </xf>
    <xf numFmtId="3" fontId="0" fillId="5" borderId="1" applyAlignment="1" pivotButton="0" quotePrefix="0" xfId="0">
      <alignment horizontal="center" vertical="center"/>
    </xf>
    <xf numFmtId="164" fontId="0" fillId="5" borderId="1" applyAlignment="1" pivotButton="0" quotePrefix="0" xfId="0">
      <alignment horizontal="center" vertical="center"/>
    </xf>
    <xf numFmtId="3" fontId="2" fillId="7" borderId="1" applyAlignment="1" pivotButton="0" quotePrefix="0" xfId="0">
      <alignment horizontal="center" vertical="center"/>
    </xf>
    <xf numFmtId="164" fontId="2" fillId="7" borderId="1" applyAlignment="1" pivotButton="0" quotePrefix="0" xfId="0">
      <alignment horizontal="center" vertical="center"/>
    </xf>
    <xf numFmtId="0" fontId="11" fillId="0" borderId="0" applyAlignment="1" pivotButton="0" quotePrefix="0" xfId="0">
      <alignment vertical="center"/>
    </xf>
    <xf numFmtId="0" fontId="12" fillId="0" borderId="0" applyAlignment="1" pivotButton="0" quotePrefix="0" xfId="0">
      <alignment vertical="top" wrapText="1"/>
    </xf>
    <xf numFmtId="0" fontId="2" fillId="0" borderId="0" pivotButton="0" quotePrefix="0" xfId="0"/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2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20" customWidth="1" min="2" max="2"/>
  </cols>
  <sheetData>
    <row r="2" ht="34" customHeight="1">
      <c r="B2" s="1" t="inlineStr">
        <is>
          <t>Navier × Bolt — Corridor Unit Economics</t>
        </is>
      </c>
    </row>
    <row r="4">
      <c r="B4" s="2" t="inlineStr"/>
    </row>
    <row r="5">
      <c r="B5" s="3" t="inlineStr">
        <is>
          <t>What this is</t>
        </is>
      </c>
    </row>
    <row r="6">
      <c r="B6" s="2" t="inlineStr">
        <is>
          <t>A standalone, transparent unit-economics model for the per-seat electric-shuttle business on each partner corridor. Every output is a live formula you can click and trace back to one named assumption cell. Nothing is hardcoded.</t>
        </is>
      </c>
    </row>
    <row r="7">
      <c r="B7" s="2" t="inlineStr"/>
    </row>
    <row r="8">
      <c r="B8" s="3" t="inlineStr">
        <is>
          <t>The one equation (per boat, per year)</t>
        </is>
      </c>
    </row>
    <row r="9">
      <c r="B9" s="4" t="inlineStr">
        <is>
          <t>REVENUE = trips/day × operating days/yr × revenue-leg factor × (pax capacity × load factor) × Navier fare</t>
        </is>
      </c>
    </row>
    <row r="10">
      <c r="B10" s="5" t="inlineStr">
        <is>
          <t xml:space="preserve">    trips/day      = FLOOR(service window hr ÷ cycle time);  cycle = one-way time + turnaround</t>
        </is>
      </c>
    </row>
    <row r="11">
      <c r="B11" s="5" t="inlineStr">
        <is>
          <t xml:space="preserve">    one-way time   = distance(nm) ÷ cruise speed(kt)</t>
        </is>
      </c>
    </row>
    <row r="12">
      <c r="B12" s="5" t="inlineStr">
        <is>
          <t xml:space="preserve">    operating days = 365 × mechanical uptime × weather factor</t>
        </is>
      </c>
    </row>
    <row r="13">
      <c r="B13" s="5" t="inlineStr">
        <is>
          <t xml:space="preserve">    Navier fare    = comparable premium transfer fare × discount (=1.0, market parity)</t>
        </is>
      </c>
    </row>
    <row r="14">
      <c r="B14" s="4" t="inlineStr">
        <is>
          <t>EBITDA  = REVENUE − OPEX   (energy + captain + marina/overhead + maintenance)</t>
        </is>
      </c>
    </row>
    <row r="15">
      <c r="B15" s="4" t="inlineStr">
        <is>
          <t>PAYBACK = vessel CAPEX ÷ EBITDA</t>
        </is>
      </c>
    </row>
    <row r="16">
      <c r="B16" s="2" t="inlineStr"/>
    </row>
    <row r="17">
      <c r="B17" s="3" t="inlineStr">
        <is>
          <t>From demand pool to fleet &amp; market size</t>
        </is>
      </c>
    </row>
    <row r="18">
      <c r="B18" s="5" t="inlineStr">
        <is>
          <t>Navier serviceable rides/yr = corridor demand pool × capture rate (10% on contested corridors; ~90% on captive sole-operator transfer legs — see the per-row Capture % column)</t>
        </is>
      </c>
    </row>
    <row r="19">
      <c r="B19" s="2" t="inlineStr">
        <is>
          <t>Vessels supported = FLOOR(Navier rides/yr ÷ pax/yr per boat);  Market rev = vessels × rev/boat. The 'Market sizing' tab rolls these up into the SOM → SAM → TAM ladder.</t>
        </is>
      </c>
    </row>
    <row r="20">
      <c r="B20" s="2" t="inlineStr"/>
    </row>
    <row r="21">
      <c r="B21" s="3" t="inlineStr">
        <is>
          <t>The scenario toggle (what we flex)</t>
        </is>
      </c>
    </row>
    <row r="22">
      <c r="B22" s="2" t="inlineStr">
        <is>
          <t>'Corridor economics' has a SCENARIO cell = THIN / MID / FULL. It flexes two levers: load factor (how full the boat is) and revenue-leg factor (how many legs earn full fare). MID is the headline. Change that one cell and the whole model recomputes. The right-hand Payback THIN/MID/FULL columns always show all three at once.</t>
        </is>
      </c>
    </row>
    <row r="23">
      <c r="B23" s="2" t="inlineStr"/>
    </row>
    <row r="24">
      <c r="B24" s="3" t="inlineStr">
        <is>
          <t>Colour &amp; provenance legend</t>
        </is>
      </c>
    </row>
    <row r="25">
      <c r="B25" s="6" t="inlineStr">
        <is>
          <t xml:space="preserve">   Yellow = INPUTS you can change (fare, distance, demand, weather).</t>
        </is>
      </c>
    </row>
    <row r="26">
      <c r="B26" s="7" t="inlineStr">
        <is>
          <t xml:space="preserve">   Green  = COMPUTED by formula.</t>
        </is>
      </c>
    </row>
    <row r="27">
      <c r="B27" s="2" t="inlineStr">
        <is>
          <t xml:space="preserve">   Every fare &amp; demand figure carries a Source tier (T1 official → T5 modeled) + Confidence (high/med/low). Null beats a wrong number: no published pool → blank, not a guess.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2" customWidth="1" min="3" max="3"/>
    <col width="8" customWidth="1" min="4" max="4"/>
    <col width="9" customWidth="1" min="5" max="5"/>
    <col width="72" customWidth="1" min="6" max="6"/>
  </cols>
  <sheetData>
    <row r="1">
      <c r="A1" s="8" t="inlineStr">
        <is>
          <t>Assumptions — single source of truth (the engine references these named cells)</t>
        </is>
      </c>
    </row>
    <row r="3">
      <c r="A3" s="9" t="inlineStr">
        <is>
          <t>Vessel — N30 Pioneer II  (L1 global, commercial now)</t>
        </is>
      </c>
    </row>
    <row r="4">
      <c r="A4" s="10" t="inlineStr">
        <is>
          <t>Parameter</t>
        </is>
      </c>
      <c r="B4" s="10" t="inlineStr">
        <is>
          <t>Value</t>
        </is>
      </c>
      <c r="C4" s="10" t="inlineStr">
        <is>
          <t>Unit</t>
        </is>
      </c>
      <c r="D4" s="10" t="inlineStr">
        <is>
          <t>Tier</t>
        </is>
      </c>
      <c r="E4" s="10" t="inlineStr">
        <is>
          <t>Conf.</t>
        </is>
      </c>
      <c r="F4" s="10" t="inlineStr">
        <is>
          <t>Source / note</t>
        </is>
      </c>
    </row>
    <row r="5">
      <c r="A5" s="11" t="inlineStr">
        <is>
          <t>Passenger capacity</t>
        </is>
      </c>
      <c r="B5" s="12" t="n">
        <v>8</v>
      </c>
      <c r="C5" s="13" t="inlineStr">
        <is>
          <t>pax</t>
        </is>
      </c>
      <c r="D5" s="13" t="inlineStr">
        <is>
          <t>T1</t>
        </is>
      </c>
      <c r="E5" s="13" t="inlineStr">
        <is>
          <t>high</t>
        </is>
      </c>
      <c r="F5" s="14" t="inlineStr">
        <is>
          <t>Navier model: up to 8 pax where local rules allow (Jaideep set base case to 8, 2026-06-06)</t>
        </is>
      </c>
    </row>
    <row r="6">
      <c r="A6" s="11" t="inlineStr">
        <is>
          <t>Range</t>
        </is>
      </c>
      <c r="B6" s="12" t="n">
        <v>70</v>
      </c>
      <c r="C6" s="13" t="inlineStr">
        <is>
          <t>nm</t>
        </is>
      </c>
      <c r="D6" s="13" t="inlineStr">
        <is>
          <t>T1</t>
        </is>
      </c>
      <c r="E6" s="13" t="inlineStr">
        <is>
          <t>high</t>
        </is>
      </c>
      <c r="F6" s="14" t="inlineStr">
        <is>
          <t>Navier locked spec (KB)</t>
        </is>
      </c>
    </row>
    <row r="7">
      <c r="A7" s="11" t="inlineStr">
        <is>
          <t>Cruise speed</t>
        </is>
      </c>
      <c r="B7" s="12" t="n">
        <v>20</v>
      </c>
      <c r="C7" s="13" t="inlineStr">
        <is>
          <t>kt</t>
        </is>
      </c>
      <c r="D7" s="13" t="inlineStr">
        <is>
          <t>T1</t>
        </is>
      </c>
      <c r="E7" s="13" t="inlineStr">
        <is>
          <t>high</t>
        </is>
      </c>
      <c r="F7" s="14" t="inlineStr">
        <is>
          <t>Navier locked spec (cruise)</t>
        </is>
      </c>
    </row>
    <row r="8">
      <c r="A8" s="11" t="inlineStr">
        <is>
          <t>CAPEX (per vessel; US/EU base — ROW=$600K, see Country opex tab col G)</t>
        </is>
      </c>
      <c r="B8" s="15" t="n">
        <v>900000</v>
      </c>
      <c r="C8" s="13" t="inlineStr">
        <is>
          <t>USD</t>
        </is>
      </c>
      <c r="D8" s="13" t="inlineStr">
        <is>
          <t>T1</t>
        </is>
      </c>
      <c r="E8" s="13" t="inlineStr">
        <is>
          <t>high</t>
        </is>
      </c>
      <c r="F8" s="14" t="inlineStr">
        <is>
          <t>Navier price (LYFT ref model, ex tax/fees)</t>
        </is>
      </c>
    </row>
    <row r="9">
      <c r="A9" s="11" t="inlineStr">
        <is>
          <t>Battery</t>
        </is>
      </c>
      <c r="B9" s="12" t="n">
        <v>114</v>
      </c>
      <c r="C9" s="13" t="inlineStr">
        <is>
          <t>kWh</t>
        </is>
      </c>
      <c r="D9" s="13" t="inlineStr">
        <is>
          <t>T1</t>
        </is>
      </c>
      <c r="E9" s="13" t="inlineStr">
        <is>
          <t>high</t>
        </is>
      </c>
      <c r="F9" s="14" t="inlineStr">
        <is>
          <t>Navier data (LYFT ref model)</t>
        </is>
      </c>
    </row>
    <row r="10">
      <c r="A10" s="11" t="inlineStr">
        <is>
          <t>Annual maintenance</t>
        </is>
      </c>
      <c r="B10" s="15" t="n">
        <v>10000</v>
      </c>
      <c r="C10" s="13" t="inlineStr">
        <is>
          <t>USD/yr</t>
        </is>
      </c>
      <c r="D10" s="13" t="inlineStr">
        <is>
          <t>T1</t>
        </is>
      </c>
      <c r="E10" s="13" t="inlineStr">
        <is>
          <t>med</t>
        </is>
      </c>
      <c r="F10" s="14" t="inlineStr">
        <is>
          <t>Navier data (LYFT ref model)</t>
        </is>
      </c>
    </row>
    <row r="11">
      <c r="A11" s="11" t="inlineStr">
        <is>
          <t>Depreciation life</t>
        </is>
      </c>
      <c r="B11" s="12" t="n">
        <v>20</v>
      </c>
      <c r="C11" s="13" t="inlineStr">
        <is>
          <t>yr</t>
        </is>
      </c>
      <c r="D11" s="13" t="inlineStr">
        <is>
          <t>T2</t>
        </is>
      </c>
      <c r="E11" s="13" t="inlineStr">
        <is>
          <t>med</t>
        </is>
      </c>
      <c r="F11" s="14" t="inlineStr">
        <is>
          <t>Marine-vessel market best practice (Jaideep locked 2026-06-07): commercial passenger vessels straight-line over ~20-25yr useful life; corroborated by Sampriti founder Jan-2024 operating model (20yr). Was placeholder 10yr.</t>
        </is>
      </c>
    </row>
    <row r="12">
      <c r="A12" s="11" t="inlineStr">
        <is>
          <t>Diesel comparable economy</t>
        </is>
      </c>
      <c r="B12" s="16" t="n">
        <v>1.5</v>
      </c>
      <c r="C12" s="13" t="inlineStr">
        <is>
          <t>nm/gal</t>
        </is>
      </c>
      <c r="D12" s="13" t="inlineStr">
        <is>
          <t>T3</t>
        </is>
      </c>
      <c r="E12" s="13" t="inlineStr">
        <is>
          <t>med</t>
        </is>
      </c>
      <c r="F12" s="14" t="inlineStr">
        <is>
          <t>Navier + open web (LYFT ref model)</t>
        </is>
      </c>
    </row>
    <row r="14">
      <c r="A14" s="9" t="inlineStr">
        <is>
          <t>Operating defaults  (L1 global; overridable per market)</t>
        </is>
      </c>
    </row>
    <row r="15">
      <c r="A15" s="10" t="inlineStr">
        <is>
          <t>Parameter</t>
        </is>
      </c>
      <c r="B15" s="10" t="inlineStr">
        <is>
          <t>Value</t>
        </is>
      </c>
      <c r="C15" s="10" t="inlineStr">
        <is>
          <t>Unit</t>
        </is>
      </c>
      <c r="D15" s="10" t="inlineStr">
        <is>
          <t>Tier</t>
        </is>
      </c>
      <c r="E15" s="10" t="inlineStr">
        <is>
          <t>Conf.</t>
        </is>
      </c>
      <c r="F15" s="10" t="inlineStr">
        <is>
          <t>Source / note</t>
        </is>
      </c>
    </row>
    <row r="16">
      <c r="A16" s="11" t="inlineStr">
        <is>
          <t>Service window</t>
        </is>
      </c>
      <c r="B16" s="12" t="n">
        <v>12</v>
      </c>
      <c r="C16" s="13" t="inlineStr">
        <is>
          <t>hr/day</t>
        </is>
      </c>
      <c r="D16" s="13" t="inlineStr">
        <is>
          <t>T5</t>
        </is>
      </c>
      <c r="E16" s="13" t="inlineStr">
        <is>
          <t>low</t>
        </is>
      </c>
      <c r="F16" s="14" t="inlineStr">
        <is>
          <t>Modeled single-asset commercial service window (one extended crew day, water-taxi norm). Conservative vs 24h.</t>
        </is>
      </c>
    </row>
    <row r="17">
      <c r="A17" s="11" t="inlineStr">
        <is>
          <t>Turnaround / charge per leg</t>
        </is>
      </c>
      <c r="B17" s="12" t="n">
        <v>20</v>
      </c>
      <c r="C17" s="13" t="inlineStr">
        <is>
          <t>min</t>
        </is>
      </c>
      <c r="D17" s="13" t="inlineStr">
        <is>
          <t>T1</t>
        </is>
      </c>
      <c r="E17" s="13" t="inlineStr">
        <is>
          <t>med</t>
        </is>
      </c>
      <c r="F17" s="14" t="inlineStr">
        <is>
          <t>Navier fast-charge (LYFT ref ~20-30min)</t>
        </is>
      </c>
    </row>
    <row r="18">
      <c r="A18" s="11" t="inlineStr">
        <is>
          <t>Boarding / scheduling dwell per leg</t>
        </is>
      </c>
      <c r="B18" s="12" t="n">
        <v>10</v>
      </c>
      <c r="C18" s="13" t="inlineStr">
        <is>
          <t>min</t>
        </is>
      </c>
      <c r="D18" s="13" t="inlineStr">
        <is>
          <t>T3</t>
        </is>
      </c>
      <c r="E18" s="13" t="inlineStr">
        <is>
          <t>med</t>
        </is>
      </c>
      <c r="F18" s="14" t="inlineStr">
        <is>
          <t>Premium board/deboard + scheduling slack added to each cycle (Jaideep 2026-06-19).</t>
        </is>
      </c>
    </row>
    <row r="19">
      <c r="A19" s="11" t="inlineStr">
        <is>
          <t>Max revenue sailings/day (cap)</t>
        </is>
      </c>
      <c r="B19" s="12" t="n">
        <v>10</v>
      </c>
      <c r="C19" s="13" t="inlineStr">
        <is>
          <t>legs/day</t>
        </is>
      </c>
      <c r="D19" s="13" t="inlineStr">
        <is>
          <t>T3</t>
        </is>
      </c>
      <c r="E19" s="13" t="inlineStr">
        <is>
          <t>med</t>
        </is>
      </c>
      <c r="F19" s="14" t="inlineStr">
        <is>
          <t>Cap on revenue sailings/day — ~1 sailing/70min in a 12h window; a believable on-demand premium duty cycle, not capacity-max (Jaideep 2026-06-19).</t>
        </is>
      </c>
    </row>
    <row r="20">
      <c r="A20" s="11" t="inlineStr">
        <is>
          <t>Crew FTE factor (x captain wage)</t>
        </is>
      </c>
      <c r="B20" s="16" t="n">
        <v>1.8</v>
      </c>
      <c r="C20" s="13" t="inlineStr">
        <is>
          <t>x</t>
        </is>
      </c>
      <c r="D20" s="13" t="inlineStr">
        <is>
          <t>T3</t>
        </is>
      </c>
      <c r="E20" s="13" t="inlineStr">
        <is>
          <t>med</t>
        </is>
      </c>
      <c r="F20" s="14" t="inlineStr">
        <is>
          <t>A captain can't run 7 days/wk; 1.8 FTE covers relief/leave/second-shift year-round (Jaideep 2026-06-19). Scales off localized captain wage.</t>
        </is>
      </c>
    </row>
    <row r="21">
      <c r="A21" s="11" t="inlineStr">
        <is>
          <t>Insurance (% of capex/yr)</t>
        </is>
      </c>
      <c r="B21" s="17" t="n">
        <v>0.025</v>
      </c>
      <c r="C21" s="13" t="inlineStr">
        <is>
          <t>frac</t>
        </is>
      </c>
      <c r="D21" s="13" t="inlineStr">
        <is>
          <t>T3</t>
        </is>
      </c>
      <c r="E21" s="13" t="inlineStr">
        <is>
          <t>med</t>
        </is>
      </c>
      <c r="F21" s="14" t="inlineStr">
        <is>
          <t>H&amp;M + P&amp;I for a commercial passenger vessel ~2.5%/yr of capex; scales with regional capex overrides (Jaideep 2026-06-19).</t>
        </is>
      </c>
    </row>
    <row r="22">
      <c r="A22" s="11" t="inlineStr">
        <is>
          <t>Charging &amp; berth (additional to marina+energy)</t>
        </is>
      </c>
      <c r="B22" s="15" t="n">
        <v>18000</v>
      </c>
      <c r="C22" s="13" t="inlineStr">
        <is>
          <t>USD/yr</t>
        </is>
      </c>
      <c r="D22" s="13" t="inlineStr">
        <is>
          <t>T3</t>
        </is>
      </c>
      <c r="E22" s="13" t="inlineStr">
        <is>
          <t>med</t>
        </is>
      </c>
      <c r="F22" s="14" t="inlineStr">
        <is>
          <t>Dedicated fast-charge berth + demand charges, ADDITIONAL to marina overhead and energy (Jaideep 2026-06-19). L3-overridable.</t>
        </is>
      </c>
    </row>
    <row r="23">
      <c r="A23" s="11" t="inlineStr">
        <is>
          <t>Mechanical uptime</t>
        </is>
      </c>
      <c r="B23" s="17" t="n">
        <v>0.75</v>
      </c>
      <c r="C23" s="13" t="inlineStr">
        <is>
          <t>frac</t>
        </is>
      </c>
      <c r="D23" s="13" t="inlineStr">
        <is>
          <t>T4</t>
        </is>
      </c>
      <c r="E23" s="13" t="inlineStr">
        <is>
          <t>med</t>
        </is>
      </c>
      <c r="F23" s="14" t="inlineStr">
        <is>
          <t>Blade luxury aviation ~75-80% reliability uptime</t>
        </is>
      </c>
    </row>
    <row r="24">
      <c r="A24" s="11" t="inlineStr">
        <is>
          <t>Navier capture rate</t>
        </is>
      </c>
      <c r="B24" s="17" t="n">
        <v>0.1</v>
      </c>
      <c r="C24" s="13" t="inlineStr">
        <is>
          <t>frac</t>
        </is>
      </c>
      <c r="D24" s="13" t="inlineStr"/>
      <c r="E24" s="13" t="inlineStr">
        <is>
          <t>med</t>
        </is>
      </c>
      <c r="F24" s="14" t="inlineStr">
        <is>
          <t>Navier wins ~10% of a CONTESTED corridor demand pool (locked). Captive sole-operator transfer legs (captive:true / luxury_charter / hospitality archetypes) carry the captive rate instead — see per-row Capture %.</t>
        </is>
      </c>
    </row>
    <row r="25">
      <c r="A25" s="11" t="inlineStr">
        <is>
          <t>Captive capture rate (A′ corridors)</t>
        </is>
      </c>
      <c r="B25" s="17" t="n">
        <v>0.9</v>
      </c>
      <c r="C25" s="13" t="inlineStr">
        <is>
          <t>frac</t>
        </is>
      </c>
      <c r="D25" s="13" t="inlineStr"/>
      <c r="E25" s="13" t="inlineStr">
        <is>
          <t>med</t>
        </is>
      </c>
      <c r="F25" s="14" t="inlineStr">
        <is>
          <t>Sole-operator water-access-only transfer legs (captive:true or luxury_charter/hospitality archetype): Navier IS the transfer fleet — capture ~90%. Applied per-row in the Capture % column.</t>
        </is>
      </c>
    </row>
    <row r="26">
      <c r="A26" s="11" t="inlineStr">
        <is>
          <t>Discount factor (vs comparable fare)</t>
        </is>
      </c>
      <c r="B26" s="16" t="n">
        <v>1</v>
      </c>
      <c r="C26" s="13" t="inlineStr">
        <is>
          <t>frac</t>
        </is>
      </c>
      <c r="D26" s="13" t="inlineStr">
        <is>
          <t>T1</t>
        </is>
      </c>
      <c r="E26" s="13" t="inlineStr">
        <is>
          <t>high</t>
        </is>
      </c>
      <c r="F26" s="14" t="inlineStr">
        <is>
          <t>Market parity — better product, not cheaper (locked).</t>
        </is>
      </c>
    </row>
    <row r="27">
      <c r="A27" s="11" t="inlineStr">
        <is>
          <t>Diesel CO₂ per gallon</t>
        </is>
      </c>
      <c r="B27" s="16" t="n">
        <v>10.21</v>
      </c>
      <c r="C27" s="13" t="inlineStr">
        <is>
          <t>kg/gal</t>
        </is>
      </c>
      <c r="D27" s="13" t="inlineStr">
        <is>
          <t>T1</t>
        </is>
      </c>
      <c r="E27" s="13" t="inlineStr">
        <is>
          <t>high</t>
        </is>
      </c>
      <c r="F27" s="14" t="inlineStr">
        <is>
          <t>US EPA: 10.21 kg CO2 per gallon marine/diesel</t>
        </is>
      </c>
    </row>
    <row r="29">
      <c r="A29" s="9" t="inlineStr">
        <is>
          <t>Utilization scenarios  (the two levers we flex)</t>
        </is>
      </c>
    </row>
    <row r="30">
      <c r="A30" s="10" t="inlineStr">
        <is>
          <t>Scenario</t>
        </is>
      </c>
      <c r="B30" s="10" t="inlineStr">
        <is>
          <t>Load factor</t>
        </is>
      </c>
      <c r="C30" s="10" t="inlineStr">
        <is>
          <t>Rev-leg factor</t>
        </is>
      </c>
      <c r="D30" s="10" t="inlineStr"/>
      <c r="E30" s="10" t="inlineStr"/>
      <c r="F30" s="10" t="inlineStr">
        <is>
          <t>Note</t>
        </is>
      </c>
    </row>
    <row r="31">
      <c r="A31" s="18" t="inlineStr">
        <is>
          <t>THIN</t>
        </is>
      </c>
      <c r="B31" s="19" t="n">
        <v>0.45</v>
      </c>
      <c r="C31" s="19" t="n">
        <v>0.45</v>
      </c>
      <c r="F31" s="14" t="inlineStr">
        <is>
          <t>thin/one-way/seasonal corridor — conservative floor</t>
        </is>
      </c>
    </row>
    <row r="32">
      <c r="A32" s="18" t="inlineStr">
        <is>
          <t>MID</t>
        </is>
      </c>
      <c r="B32" s="19" t="n">
        <v>0.55</v>
      </c>
      <c r="C32" s="19" t="n">
        <v>0.55</v>
      </c>
      <c r="F32" s="14" t="inlineStr">
        <is>
          <t>HEADLINE — realistic busy two-way corridor</t>
        </is>
      </c>
    </row>
    <row r="33">
      <c r="A33" s="18" t="inlineStr">
        <is>
          <t>FULL</t>
        </is>
      </c>
      <c r="B33" s="19" t="n">
        <v>0.7</v>
      </c>
      <c r="C33" s="19" t="n">
        <v>0.75</v>
      </c>
      <c r="F33" s="14" t="inlineStr">
        <is>
          <t>mature/dense corridor — optimistic ceiling</t>
        </is>
      </c>
    </row>
    <row r="35">
      <c r="A35" s="20" t="inlineStr">
        <is>
          <t>SCENARIO (toggle me)</t>
        </is>
      </c>
      <c r="B35" s="21" t="inlineStr">
        <is>
          <t>MID</t>
        </is>
      </c>
      <c r="C35" s="22" t="inlineStr">
        <is>
          <t>← set THIN / MID / FULL</t>
        </is>
      </c>
    </row>
    <row r="36">
      <c r="A36" s="11" t="inlineStr">
        <is>
          <t>Selected load factor</t>
        </is>
      </c>
      <c r="B36" s="23">
        <f>VLOOKUP(scenario,'Assumptions'!$A$31:$C$33,2,FALSE)</f>
        <v/>
      </c>
    </row>
    <row r="37">
      <c r="A37" s="11" t="inlineStr">
        <is>
          <t>Selected rev-leg factor</t>
        </is>
      </c>
      <c r="B37" s="23">
        <f>VLOOKUP(scenario,'Assumptions'!$A$31:$C$33,3,FALSE)</f>
        <v/>
      </c>
    </row>
  </sheetData>
  <mergeCells count="4">
    <mergeCell ref="A3:F3"/>
    <mergeCell ref="A14:F14"/>
    <mergeCell ref="A1:F1"/>
    <mergeCell ref="A29:F29"/>
  </mergeCells>
  <dataValidations count="1">
    <dataValidation sqref="B35" showDropDown="0" showInputMessage="0" showErrorMessage="0" allowBlank="0" type="list">
      <formula1>"THIN,MID,FULL"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1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4" customWidth="1" min="4" max="4"/>
    <col width="14" customWidth="1" min="5" max="5"/>
    <col width="11" customWidth="1" min="6" max="6"/>
    <col width="14" customWidth="1" min="7" max="7"/>
    <col width="60" customWidth="1" min="8" max="8"/>
  </cols>
  <sheetData>
    <row r="1">
      <c r="A1" s="8" t="inlineStr">
        <is>
          <t>Country opex — L3 localized layer (VLOOKUP target for the engine)</t>
        </is>
      </c>
    </row>
    <row r="3">
      <c r="A3" s="24" t="inlineStr">
        <is>
          <t>Country</t>
        </is>
      </c>
      <c r="B3" s="24" t="inlineStr">
        <is>
          <t>Captain $/yr</t>
        </is>
      </c>
      <c r="C3" s="24" t="inlineStr">
        <is>
          <t>Energy $/kWh</t>
        </is>
      </c>
      <c r="D3" s="24" t="inlineStr">
        <is>
          <t>Grid CO₂ kg/kWh</t>
        </is>
      </c>
      <c r="E3" s="24" t="inlineStr">
        <is>
          <t>Marina $/yr</t>
        </is>
      </c>
      <c r="F3" s="24" t="inlineStr">
        <is>
          <t>Cost index</t>
        </is>
      </c>
      <c r="G3" s="24" t="inlineStr">
        <is>
          <t>CAPEX $/vessel</t>
        </is>
      </c>
      <c r="H3" s="24" t="inlineStr">
        <is>
          <t>Source notes (captain | energy | marina)</t>
        </is>
      </c>
    </row>
    <row r="4">
      <c r="A4" s="25" t="inlineStr">
        <is>
          <t>Croatia</t>
        </is>
      </c>
      <c r="B4" s="26" t="n">
        <v>28000</v>
      </c>
      <c r="C4" s="27" t="n">
        <v>0.15</v>
      </c>
      <c r="D4" s="19" t="n">
        <v>0.2</v>
      </c>
      <c r="E4" s="26" t="n">
        <v>16000</v>
      </c>
      <c r="F4" s="19" t="n">
        <v>0.6</v>
      </c>
      <c r="G4" s="26" t="n">
        <v>900000</v>
      </c>
      <c r="H4" s="14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5">
      <c r="A5" s="25" t="inlineStr">
        <is>
          <t>Cyprus</t>
        </is>
      </c>
      <c r="B5" s="26" t="n">
        <v>34000</v>
      </c>
      <c r="C5" s="27" t="n">
        <v>0.26</v>
      </c>
      <c r="D5" s="19" t="n">
        <v>0.6</v>
      </c>
      <c r="E5" s="26" t="n">
        <v>22000</v>
      </c>
      <c r="F5" s="19" t="n">
        <v>0.72</v>
      </c>
      <c r="G5" s="26" t="n">
        <v>900000</v>
      </c>
      <c r="H5" s="14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6">
      <c r="A6" s="25" t="inlineStr">
        <is>
          <t>Egypt</t>
        </is>
      </c>
      <c r="B6" s="26" t="n">
        <v>12000</v>
      </c>
      <c r="C6" s="27" t="n">
        <v>0.06</v>
      </c>
      <c r="D6" s="19" t="n">
        <v>0.45</v>
      </c>
      <c r="E6" s="26" t="n">
        <v>8000</v>
      </c>
      <c r="F6" s="19" t="n">
        <v>0.3</v>
      </c>
      <c r="G6" s="26" t="n">
        <v>600000</v>
      </c>
      <c r="H6" s="14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7">
      <c r="A7" s="25" t="inlineStr">
        <is>
          <t>Estonia</t>
        </is>
      </c>
      <c r="B7" s="26" t="n">
        <v>30000</v>
      </c>
      <c r="C7" s="27" t="n">
        <v>0.16</v>
      </c>
      <c r="D7" s="19" t="n">
        <v>0.45</v>
      </c>
      <c r="E7" s="26" t="n">
        <v>14000</v>
      </c>
      <c r="F7" s="19" t="n">
        <v>0.65</v>
      </c>
      <c r="G7" s="26" t="n">
        <v>900000</v>
      </c>
      <c r="H7" s="14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8">
      <c r="A8" s="25" t="inlineStr">
        <is>
          <t>Finland</t>
        </is>
      </c>
      <c r="B8" s="26" t="n">
        <v>55000</v>
      </c>
      <c r="C8" s="27" t="n">
        <v>0.14</v>
      </c>
      <c r="D8" s="19" t="n">
        <v>0.08</v>
      </c>
      <c r="E8" s="26" t="n">
        <v>18000</v>
      </c>
      <c r="F8" s="19" t="n">
        <v>1.15</v>
      </c>
      <c r="G8" s="26" t="n">
        <v>900000</v>
      </c>
      <c r="H8" s="14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9">
      <c r="A9" s="25" t="inlineStr">
        <is>
          <t>France</t>
        </is>
      </c>
      <c r="B9" s="26" t="n">
        <v>55000</v>
      </c>
      <c r="C9" s="27" t="n">
        <v>0.2</v>
      </c>
      <c r="D9" s="19" t="n">
        <v>0.06</v>
      </c>
      <c r="E9" s="26" t="n">
        <v>30000</v>
      </c>
      <c r="F9" s="19" t="n">
        <v>1.15</v>
      </c>
      <c r="G9" s="26" t="n">
        <v>900000</v>
      </c>
      <c r="H9" s="14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10">
      <c r="A10" s="25" t="inlineStr">
        <is>
          <t>Greece</t>
        </is>
      </c>
      <c r="B10" s="26" t="n">
        <v>32000</v>
      </c>
      <c r="C10" s="27" t="n">
        <v>0.19</v>
      </c>
      <c r="D10" s="19" t="n">
        <v>0.4</v>
      </c>
      <c r="E10" s="26" t="n">
        <v>18000</v>
      </c>
      <c r="F10" s="19" t="n">
        <v>0.7</v>
      </c>
      <c r="G10" s="26" t="n">
        <v>900000</v>
      </c>
      <c r="H10" s="14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11">
      <c r="A11" s="25" t="inlineStr">
        <is>
          <t>Ireland</t>
        </is>
      </c>
      <c r="B11" s="26" t="n">
        <v>55000</v>
      </c>
      <c r="C11" s="27" t="n">
        <v>0.27</v>
      </c>
      <c r="D11" s="19" t="n">
        <v>0.33</v>
      </c>
      <c r="E11" s="26" t="n">
        <v>22000</v>
      </c>
      <c r="F11" s="19" t="n">
        <v>1.15</v>
      </c>
      <c r="G11" s="26" t="n">
        <v>900000</v>
      </c>
      <c r="H11" s="14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12">
      <c r="A12" s="25" t="inlineStr">
        <is>
          <t>Israel</t>
        </is>
      </c>
      <c r="B12" s="26" t="n">
        <v>50000</v>
      </c>
      <c r="C12" s="27" t="n">
        <v>0.16</v>
      </c>
      <c r="D12" s="19" t="n">
        <v>0.55</v>
      </c>
      <c r="E12" s="26" t="n">
        <v>20000</v>
      </c>
      <c r="F12" s="19" t="n">
        <v>1.05</v>
      </c>
      <c r="G12" s="26" t="n">
        <v>600000</v>
      </c>
      <c r="H12" s="14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13">
      <c r="A13" s="25" t="inlineStr">
        <is>
          <t>Italy</t>
        </is>
      </c>
      <c r="B13" s="26" t="n">
        <v>48000</v>
      </c>
      <c r="C13" s="27" t="n">
        <v>0.28</v>
      </c>
      <c r="D13" s="19" t="n">
        <v>0.33</v>
      </c>
      <c r="E13" s="26" t="n">
        <v>26000</v>
      </c>
      <c r="F13" s="19" t="n">
        <v>1</v>
      </c>
      <c r="G13" s="26" t="n">
        <v>900000</v>
      </c>
      <c r="H13" s="14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14">
      <c r="A14" s="25" t="inlineStr">
        <is>
          <t>Lebanon</t>
        </is>
      </c>
      <c r="B14" s="26" t="n">
        <v>20000</v>
      </c>
      <c r="C14" s="27" t="n">
        <v>0.2</v>
      </c>
      <c r="D14" s="19" t="n">
        <v>0.6</v>
      </c>
      <c r="E14" s="26" t="n">
        <v>12000</v>
      </c>
      <c r="F14" s="19" t="n">
        <v>0.45</v>
      </c>
      <c r="G14" s="26" t="n">
        <v>600000</v>
      </c>
      <c r="H14" s="14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15">
      <c r="A15" s="25" t="inlineStr">
        <is>
          <t>Portugal</t>
        </is>
      </c>
      <c r="B15" s="26" t="n">
        <v>30000</v>
      </c>
      <c r="C15" s="27" t="n">
        <v>0.18</v>
      </c>
      <c r="D15" s="19" t="n">
        <v>0.2</v>
      </c>
      <c r="E15" s="26" t="n">
        <v>16000</v>
      </c>
      <c r="F15" s="19" t="n">
        <v>0.65</v>
      </c>
      <c r="G15" s="26" t="n">
        <v>900000</v>
      </c>
      <c r="H15" s="14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16">
      <c r="A16" s="25" t="inlineStr">
        <is>
          <t>Qatar</t>
        </is>
      </c>
      <c r="B16" s="26" t="n">
        <v>43000</v>
      </c>
      <c r="C16" s="27" t="n">
        <v>0.036</v>
      </c>
      <c r="D16" s="19" t="n">
        <v>0.49</v>
      </c>
      <c r="E16" s="26" t="n">
        <v>20000</v>
      </c>
      <c r="F16" s="19" t="n">
        <v>0.7</v>
      </c>
      <c r="G16" s="26" t="n">
        <v>600000</v>
      </c>
      <c r="H16" s="14" t="inlineStr">
        <is>
          <t>GCC expat marine crew (Doha). Naukrigulf: yacht captain Qatar QAR 6,000-18,518/mo, avg QAR 10,333/mo (~$2,840); Indeed Qatar boat captain avg QAR 50,795/yr (low-side local base, ~$14k); Facebook/MCA ad: 38m-yacht captain $15k/mo (superyacht high-side, excluded). Deckhand: Doha job ads QAR 2,300/mo + food (Facebook 2026), Indeed boat/yacht crew up to QAR 4,500/mo. Blended 1 commercial tourism-boat captain (~QAR 10,000/mo ~$2,750) + deckhand (~QAR 3,000/mo ~$825) fully-loaded incl visa/accommodation ~= QAR 156k = ~$43k/vessel/yr @QAR 3.64 (pegged). Highest GCC wage market (GDP/cap top of GCC); just above Saudi $42k / UAE $40k, below Singapore $48k. | HEAVILY SUBSIDIZED - cheapest commercial power in the set. Kahramaa commercial tariff slabs: QAR 0.09/kWh first 4,000 kWh/mo, QAR 0.12 for 4,001-15,000, QAR 0.14 above 15,000 (Kahramaa tariff schedule). GlobalPetrolPrices business QAR 0.130/kWh = $0.036 (Sep 2025). Anchored $0.036. Floor (low slab QAR 0.09) ~$0.025, ceiling (top slab QAR 0.14) ~$0.038. @QAR 3.64 (pegged). Well below Saudi $0.074 / Bahrain $0.08 / UAE $0.085. | Modeled berth+insurance+admin/vessel/yr. Doha premium marina set: Lusail Marina, The Pearl (Ronautica) marinas, Old Doha Port Mina District superyacht marina - high-cost GCC marine ops comparable to Dubai. Between Saudi $18k and UAE $22k, ~= Singapore $20k. Tagged low. | CAPEX LB-243 US/EU=$900K else $600K</t>
        </is>
      </c>
    </row>
    <row r="17">
      <c r="A17" s="25" t="inlineStr">
        <is>
          <t>Romania</t>
        </is>
      </c>
      <c r="B17" s="26" t="n">
        <v>22000</v>
      </c>
      <c r="C17" s="27" t="n">
        <v>0.16</v>
      </c>
      <c r="D17" s="19" t="n">
        <v>0.26</v>
      </c>
      <c r="E17" s="26" t="n">
        <v>12000</v>
      </c>
      <c r="F17" s="19" t="n">
        <v>0.5</v>
      </c>
      <c r="G17" s="26" t="n">
        <v>900000</v>
      </c>
      <c r="H17" s="14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18">
      <c r="A18" s="25" t="inlineStr">
        <is>
          <t>Saudi Arabia</t>
        </is>
      </c>
      <c r="B18" s="26" t="n">
        <v>42000</v>
      </c>
      <c r="C18" s="27" t="n">
        <v>0.074</v>
      </c>
      <c r="D18" s="19" t="n">
        <v>0.57</v>
      </c>
      <c r="E18" s="26" t="n">
        <v>18000</v>
      </c>
      <c r="F18" s="19" t="n">
        <v>0.68</v>
      </c>
      <c r="G18" s="26" t="n">
        <v>600000</v>
      </c>
      <c r="H18" s="14" t="inlineStr">
        <is>
          <t>GCC expat marine crew. Job ads (Instagram/Facebook 2026): yacht/boat captain SAR 7,000-10,000/mo (~$1,870-2,670/mo); ERI SalaryExpert boat captain avg SAR 203,728/yr (~$54k, high-side single qualified). Blended 1 commercial tourism-boat captain (~SAR 8,500/mo) + deckhand (~SAR 3,500/mo) fully-loaded (housing/food/visa typically provided) ~= SAR 157k = ~$42k/vessel/yr @3.75. High-income GCC; just below Singapore $48k. | HEAVILY SUBSIDIZED. SEC/SERA commercial tariff: SAR 0.22/kWh up to 6,000 kWh/mo, SAR 0.32 above (clenergize/SEC 2025). GlobalPetrolPrices business SAR 0.277 = $0.074 (Sep 2025). Anchored $0.074. Floor (low-band) ~$0.059, ceiling (high-band SAR 0.32) ~$0.085. @SAR 3.75 (pegged). | Modeled berth+insurance+admin/vessel/yr. New premium Red Sea Global / NEOM marinas (Shura, Sindalah 86-berth) are high-cost GCC marine ops; above Taiwan $14k, below Singapore $20k. Tagged low. | CAPEX LB-243 US/EU=$900K else $600K</t>
        </is>
      </c>
    </row>
    <row r="19">
      <c r="A19" s="25" t="inlineStr">
        <is>
          <t>Spain</t>
        </is>
      </c>
      <c r="B19" s="26" t="n">
        <v>38000</v>
      </c>
      <c r="C19" s="27" t="n">
        <v>0.18</v>
      </c>
      <c r="D19" s="19" t="n">
        <v>0.19</v>
      </c>
      <c r="E19" s="26" t="n">
        <v>20000</v>
      </c>
      <c r="F19" s="19" t="n">
        <v>0.8</v>
      </c>
      <c r="G19" s="26" t="n">
        <v>900000</v>
      </c>
      <c r="H19" s="14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20">
      <c r="A20" s="25" t="inlineStr">
        <is>
          <t>Sweden</t>
        </is>
      </c>
      <c r="B20" s="26" t="n">
        <v>58000</v>
      </c>
      <c r="C20" s="27" t="n">
        <v>0.13</v>
      </c>
      <c r="D20" s="19" t="n">
        <v>0.04</v>
      </c>
      <c r="E20" s="26" t="n">
        <v>22000</v>
      </c>
      <c r="F20" s="19" t="n">
        <v>1.2</v>
      </c>
      <c r="G20" s="26" t="n">
        <v>900000</v>
      </c>
      <c r="H20" s="14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21">
      <c r="A21" s="25" t="inlineStr">
        <is>
          <t>United Arab Emirates</t>
        </is>
      </c>
      <c r="B21" s="26" t="n">
        <v>40000</v>
      </c>
      <c r="C21" s="27" t="n">
        <v>0.08500000000000001</v>
      </c>
      <c r="D21" s="19" t="n">
        <v>0.4</v>
      </c>
      <c r="E21" s="26" t="n">
        <v>22000</v>
      </c>
      <c r="F21" s="19" t="n">
        <v>0.74</v>
      </c>
      <c r="G21" s="26" t="n">
        <v>600000</v>
      </c>
      <c r="H21" s="14" t="inlineStr">
        <is>
          <t>GCC expat marine crew (Dubai). Dubai yacht-group ads: captain AED 5,000-10,000/mo, deckhand AED 2,000-3,500/mo; Morgan &amp; Mallet GCC guide captain $4,200-7,200/mo, deckhand $1,550-2,300/mo. Blended 1 commercial tourism-boat captain (~AED 8,000/mo ~$2,180) + deckhand (~AED 3,000/mo ~$817) fully-loaded incl visa/accommodation/insurance ~= ~$40k/vessel/yr @AED 3.6725. High-income GCC; between Saudi $42k and Bahrain $36k. | DEWA commercial slab tariff AED 0.23/0.28/0.32 per kWh + ~6 fils fuel surcharge (DEWA 2025); utilitybilluae.com business band AED 0.20-0.38/kWh. Effective commercial ~AED 0.30-0.33 = ~$0.082-0.090 @AED 3.6725. Abu Dhabi (ADDC) commercial cheaper. Blended UAE commercial ~$0.085. Subsidized like other GCC but above Saudi $0.074. | Modeled berth+insurance+admin/vessel/yr. Dubai premium marinas (Dubai Marina, Dubai Harbour, Bluewaters) are among the most expensive GCC marine ops; above Saudi $18k and Singapore $20k. Tagged low. | CAPEX LB-243 US/EU=$900K else $600K</t>
        </is>
      </c>
    </row>
  </sheetData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X251"/>
  <sheetViews>
    <sheetView showGridLines="0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34" customWidth="1" min="3" max="3"/>
    <col width="8" customWidth="1" min="4" max="4"/>
    <col width="11" customWidth="1" min="5" max="5"/>
    <col width="7" customWidth="1" min="6" max="6"/>
    <col width="8" customWidth="1" min="7" max="7"/>
    <col width="9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9" customWidth="1" min="18" max="18"/>
    <col width="9" customWidth="1" min="19" max="19"/>
    <col width="11" customWidth="1" min="20" max="20"/>
    <col width="10" customWidth="1" min="21" max="21"/>
    <col width="10" customWidth="1" min="22" max="22"/>
    <col width="10" customWidth="1" min="23" max="23"/>
    <col width="9" customWidth="1" min="24" max="24"/>
    <col width="10" customWidth="1" min="25" max="25"/>
    <col width="11" customWidth="1" min="26" max="26"/>
    <col width="11" customWidth="1" min="27" max="27"/>
    <col width="10" customWidth="1" min="28" max="28"/>
    <col width="11" customWidth="1" min="29" max="29"/>
    <col width="8" customWidth="1" min="30" max="30"/>
    <col width="9" customWidth="1" min="31" max="31"/>
    <col width="9" customWidth="1" min="32" max="32"/>
    <col width="12" customWidth="1" min="33" max="33"/>
    <col width="7" customWidth="1" min="34" max="34"/>
    <col width="8" customWidth="1" min="35" max="35"/>
    <col width="8" customWidth="1" min="36" max="36"/>
    <col width="10" customWidth="1" min="37" max="37"/>
    <col width="9" customWidth="1" min="38" max="38"/>
    <col width="13" customWidth="1" min="39" max="39"/>
    <col width="9" customWidth="1" min="40" max="40"/>
    <col width="13" customWidth="1" min="41" max="41"/>
    <col width="26" customWidth="1" min="42" max="42"/>
    <col width="16" customWidth="1" min="43" max="43"/>
    <col width="16" customWidth="1" min="44" max="44"/>
    <col width="9" customWidth="1" min="45" max="45"/>
    <col width="9" customWidth="1" min="46" max="46"/>
    <col width="9" customWidth="1" min="47" max="47"/>
    <col width="9" customWidth="1" min="48" max="48"/>
    <col width="50" customWidth="1" min="49" max="49"/>
    <col width="50" customWidth="1" min="50" max="50"/>
  </cols>
  <sheetData>
    <row r="1">
      <c r="A1" s="8" t="inlineStr">
        <is>
          <t>Navier × Bolt — Corridor economics (one boat, one year; MID = headline)</t>
        </is>
      </c>
      <c r="N1" s="28" t="inlineStr">
        <is>
          <t>SCENARIO:</t>
        </is>
      </c>
      <c r="O1" s="21">
        <f>scenario</f>
        <v/>
      </c>
      <c r="P1" s="22" t="inlineStr">
        <is>
          <t>(set on Assumptions tab)</t>
        </is>
      </c>
    </row>
    <row r="3" ht="42" customHeight="1">
      <c r="A3" s="24" t="inlineStr">
        <is>
          <t>Market</t>
        </is>
      </c>
      <c r="B3" s="24" t="inlineStr">
        <is>
          <t>Country</t>
        </is>
      </c>
      <c r="C3" s="24" t="inlineStr">
        <is>
          <t>Corridor</t>
        </is>
      </c>
      <c r="D3" s="24" t="inlineStr">
        <is>
          <t>Distance</t>
        </is>
      </c>
      <c r="E3" s="24" t="inlineStr">
        <is>
          <t>Premium fare $/pax</t>
        </is>
      </c>
      <c r="F3" s="24" t="inlineStr">
        <is>
          <t>Fare tier</t>
        </is>
      </c>
      <c r="G3" s="24" t="inlineStr">
        <is>
          <t>Fare conf.</t>
        </is>
      </c>
      <c r="H3" s="24" t="inlineStr">
        <is>
          <t>Weather factor</t>
        </is>
      </c>
      <c r="I3" s="24" t="inlineStr">
        <is>
          <t>One-way min</t>
        </is>
      </c>
      <c r="J3" s="24" t="inlineStr">
        <is>
          <t>Cycle min</t>
        </is>
      </c>
      <c r="K3" s="24" t="inlineStr">
        <is>
          <t>Trips/day</t>
        </is>
      </c>
      <c r="L3" s="24" t="inlineStr">
        <is>
          <t>Op days/yr</t>
        </is>
      </c>
      <c r="M3" s="24" t="inlineStr">
        <is>
          <t>Mech uptime</t>
        </is>
      </c>
      <c r="N3" s="24" t="inlineStr">
        <is>
          <t>Rev-leg %</t>
        </is>
      </c>
      <c r="O3" s="24" t="inlineStr">
        <is>
          <t>Trips/yr</t>
        </is>
      </c>
      <c r="P3" s="24" t="inlineStr">
        <is>
          <t>Load factor</t>
        </is>
      </c>
      <c r="Q3" s="24" t="inlineStr">
        <is>
          <t>Pax/trip</t>
        </is>
      </c>
      <c r="R3" s="24" t="inlineStr">
        <is>
          <t>Pax/yr</t>
        </is>
      </c>
      <c r="S3" s="24" t="inlineStr">
        <is>
          <t>Navier fare $</t>
        </is>
      </c>
      <c r="T3" s="24" t="inlineStr">
        <is>
          <t>Revenue/yr</t>
        </is>
      </c>
      <c r="U3" s="24" t="inlineStr">
        <is>
          <t>Energy/yr</t>
        </is>
      </c>
      <c r="V3" s="24" t="inlineStr">
        <is>
          <t>Crew/yr</t>
        </is>
      </c>
      <c r="W3" s="24" t="inlineStr">
        <is>
          <t>Marina/yr</t>
        </is>
      </c>
      <c r="X3" s="24" t="inlineStr">
        <is>
          <t>Maint/yr</t>
        </is>
      </c>
      <c r="Y3" s="24" t="inlineStr">
        <is>
          <t>Insurance/yr</t>
        </is>
      </c>
      <c r="Z3" s="24" t="inlineStr">
        <is>
          <t>Charge+berth/yr</t>
        </is>
      </c>
      <c r="AA3" s="24" t="inlineStr">
        <is>
          <t>OPEX/yr</t>
        </is>
      </c>
      <c r="AB3" s="24" t="inlineStr">
        <is>
          <t>Deprec/yr</t>
        </is>
      </c>
      <c r="AC3" s="24" t="inlineStr">
        <is>
          <t>EBITDA/yr</t>
        </is>
      </c>
      <c r="AD3" s="24" t="inlineStr">
        <is>
          <t>Margin</t>
        </is>
      </c>
      <c r="AE3" s="24" t="inlineStr">
        <is>
          <t>Payback yr (sel)</t>
        </is>
      </c>
      <c r="AF3" s="24" t="inlineStr">
        <is>
          <t>CO₂ saved t/yr</t>
        </is>
      </c>
      <c r="AG3" s="24" t="inlineStr">
        <is>
          <t>Demand pool 1-way/yr</t>
        </is>
      </c>
      <c r="AH3" s="24" t="inlineStr">
        <is>
          <t>Demand tier</t>
        </is>
      </c>
      <c r="AI3" s="24" t="inlineStr">
        <is>
          <t>Demand conf.</t>
        </is>
      </c>
      <c r="AJ3" s="24" t="inlineStr">
        <is>
          <t>Capture %</t>
        </is>
      </c>
      <c r="AK3" s="24" t="inlineStr">
        <is>
          <t>Navier rides/yr</t>
        </is>
      </c>
      <c r="AL3" s="24" t="inlineStr">
        <is>
          <t>Vessels @capture</t>
        </is>
      </c>
      <c r="AM3" s="24" t="inlineStr">
        <is>
          <t>Market rev/yr</t>
        </is>
      </c>
      <c r="AN3" s="24" t="inlineStr">
        <is>
          <t>Vessels raw (unfloored)</t>
        </is>
      </c>
      <c r="AO3" s="24" t="inlineStr">
        <is>
          <t>Market rev/yr raw</t>
        </is>
      </c>
      <c r="AP3" s="24" t="inlineStr">
        <is>
          <t>Subset of (excl. from market fleet)</t>
        </is>
      </c>
      <c r="AQ3" s="24" t="inlineStr">
        <is>
          <t>Forward SAM (2030-dated; held OUT of grounded floor)</t>
        </is>
      </c>
      <c r="AR3" s="24" t="inlineStr">
        <is>
          <t>Upside tier (LB-99; held OUT of grounded floor)</t>
        </is>
      </c>
      <c r="AS3" s="24" t="inlineStr">
        <is>
          <t>Fleet ceiling (captive villas/25)</t>
        </is>
      </c>
      <c r="AT3" s="24" t="inlineStr">
        <is>
          <t>Payback THIN</t>
        </is>
      </c>
      <c r="AU3" s="24" t="inlineStr">
        <is>
          <t>Payback MID</t>
        </is>
      </c>
      <c r="AV3" s="24" t="inlineStr">
        <is>
          <t>Payback FULL</t>
        </is>
      </c>
      <c r="AW3" s="24" t="inlineStr">
        <is>
          <t>Fare source (provenance)</t>
        </is>
      </c>
      <c r="AX3" s="24" t="inlineStr">
        <is>
          <t>Demand source (provenance)</t>
        </is>
      </c>
    </row>
    <row r="4">
      <c r="A4" s="29" t="inlineStr">
        <is>
          <t>Bolt Croatia</t>
        </is>
      </c>
      <c r="B4" s="29" t="inlineStr">
        <is>
          <t>Croatia</t>
        </is>
      </c>
      <c r="C4" s="30" t="inlineStr">
        <is>
          <t>Split → Trogir (via Čiovo)</t>
        </is>
      </c>
      <c r="D4" s="31" t="n">
        <v>8</v>
      </c>
      <c r="E4" s="26" t="n">
        <v>10.8</v>
      </c>
      <c r="F4" s="32" t="inlineStr">
        <is>
          <t>T2</t>
        </is>
      </c>
      <c r="G4" s="32" t="inlineStr">
        <is>
          <t>med</t>
        </is>
      </c>
      <c r="H4" s="19" t="n">
        <v>1</v>
      </c>
      <c r="I4" s="33">
        <f>60*D4/cruise_kt</f>
        <v/>
      </c>
      <c r="J4" s="33">
        <f>I4+turn_min+dwell_min</f>
        <v/>
      </c>
      <c r="K4" s="34">
        <f>MIN(16,FLOOR(60*service_hr/J4,1))</f>
        <v/>
      </c>
      <c r="L4" s="34">
        <f>ROUND(365*mech_uptime*H4,0)</f>
        <v/>
      </c>
      <c r="M4" s="35">
        <f>mech_uptime</f>
        <v/>
      </c>
      <c r="N4" s="35">
        <f>revleg_sel</f>
        <v/>
      </c>
      <c r="O4" s="34">
        <f>ROUND(K4*L4*revleg_sel,0)</f>
        <v/>
      </c>
      <c r="P4" s="36">
        <f>load_sel</f>
        <v/>
      </c>
      <c r="Q4" s="36">
        <f>pax_cap*P4</f>
        <v/>
      </c>
      <c r="R4" s="34">
        <f>Q4*O4</f>
        <v/>
      </c>
      <c r="S4" s="37">
        <f>E4*discount</f>
        <v/>
      </c>
      <c r="T4" s="38">
        <f>S4*R4</f>
        <v/>
      </c>
      <c r="U4" s="38">
        <f>(battery/range_nm)*D4*O4*VLOOKUP(B4,country_opex,3,FALSE)</f>
        <v/>
      </c>
      <c r="V4" s="38">
        <f>VLOOKUP(B4,country_opex,2,FALSE)*crew_factor</f>
        <v/>
      </c>
      <c r="W4" s="38">
        <f>VLOOKUP(B4,country_opex,5,FALSE)</f>
        <v/>
      </c>
      <c r="X4" s="38">
        <f>maint</f>
        <v/>
      </c>
      <c r="Y4" s="38">
        <f>VLOOKUP(B4,country_opex,7,FALSE)*ins_pct</f>
        <v/>
      </c>
      <c r="Z4" s="38">
        <f>charge_berth</f>
        <v/>
      </c>
      <c r="AA4" s="38">
        <f>U4+V4+W4+X4+Y4+Z4</f>
        <v/>
      </c>
      <c r="AB4" s="38">
        <f>VLOOKUP(B4,country_opex,7,FALSE)/dep_years</f>
        <v/>
      </c>
      <c r="AC4" s="38">
        <f>T4-AA4</f>
        <v/>
      </c>
      <c r="AD4" s="35">
        <f>IF(T4=0,"",AC4/T4)</f>
        <v/>
      </c>
      <c r="AE4" s="36">
        <f>IF(AC4&lt;=0,"",VLOOKUP(B4,country_opex,7,FALSE)/AC4)</f>
        <v/>
      </c>
      <c r="AF4" s="33">
        <f>((D4*O4/diesel_nmpg)*diesel_co2pg-(battery/range_nm)*D4*O4*VLOOKUP(B4,country_opex,4,FALSE))/1000</f>
        <v/>
      </c>
      <c r="AG4" s="31" t="n"/>
      <c r="AH4" s="32" t="n"/>
      <c r="AI4" s="32" t="n"/>
      <c r="AJ4" s="39" t="n">
        <v>0.1</v>
      </c>
      <c r="AK4" s="34">
        <f>IF(AG4="","",AG4*AJ4)</f>
        <v/>
      </c>
      <c r="AL4" s="34">
        <f>IF(OR(AG4="",R4=0),"",MIN(IF(AS4="",9.9E+99,AS4),FLOOR(AK4/R4,1)))</f>
        <v/>
      </c>
      <c r="AM4" s="38">
        <f>IF(AL4="","",AL4*T4)</f>
        <v/>
      </c>
      <c r="AN4" s="36">
        <f>IF(OR(AG4="",R4=0),"",MIN(IF(AS4="",9.9E+99,AS4),AK4/R4))</f>
        <v/>
      </c>
      <c r="AO4" s="38">
        <f>IF(AN4="","",AN4*T4)</f>
        <v/>
      </c>
      <c r="AP4" s="40" t="n"/>
      <c r="AQ4" s="41" t="n"/>
      <c r="AR4" s="41" t="n"/>
      <c r="AS4" s="42" t="n"/>
      <c r="AT4" s="43">
        <f>IF(((S4*pax_cap*load_thin*ROUND(K4*L4*revleg_thin,0))-(((battery/range_nm)*D4*ROUND(K4*L4*revleg_thin,0)*VLOOKUP(B4,country_opex,3,FALSE))+V4+W4+X4+Y4+Z4))&lt;=0,"",VLOOKUP(B4,country_opex,7,FALSE)/((S4*pax_cap*load_thin*ROUND(K4*L4*revleg_thin,0))-(((battery/range_nm)*D4*ROUND(K4*L4*revleg_thin,0)*VLOOKUP(B4,country_opex,3,FALSE))+V4+W4+X4+Y4+Z4)))</f>
        <v/>
      </c>
      <c r="AU4" s="43">
        <f>IF(((S4*pax_cap*load_mid*ROUND(K4*L4*revleg_mid,0))-(((battery/range_nm)*D4*ROUND(K4*L4*revleg_mid,0)*VLOOKUP(B4,country_opex,3,FALSE))+V4+W4+X4+Y4+Z4))&lt;=0,"",VLOOKUP(B4,country_opex,7,FALSE)/((S4*pax_cap*load_mid*ROUND(K4*L4*revleg_mid,0))-(((battery/range_nm)*D4*ROUND(K4*L4*revleg_mid,0)*VLOOKUP(B4,country_opex,3,FALSE))+V4+W4+X4+Y4+Z4)))</f>
        <v/>
      </c>
      <c r="AV4" s="43">
        <f>IF(((S4*pax_cap*load_full*ROUND(K4*L4*revleg_full,0))-(((battery/range_nm)*D4*ROUND(K4*L4*revleg_full,0)*VLOOKUP(B4,country_opex,3,FALSE))+V4+W4+X4+Y4+Z4))&lt;=0,"",VLOOKUP(B4,country_opex,7,FALSE)/((S4*pax_cap*load_full*ROUND(K4*L4*revleg_full,0))-(((battery/range_nm)*D4*ROUND(K4*L4*revleg_full,0)*VLOOKUP(B4,country_opex,3,FALSE))+V4+W4+X4+Y4+Z4)))</f>
        <v/>
      </c>
      <c r="AW4" s="44" t="inlineStr">
        <is>
          <t>PREMIUM/scheduled per-seat: Bura Line Split-&gt;Trogir EUR 10 adult (60 min). EUR 10 x 1.08 = $10.8.</t>
        </is>
      </c>
      <c r="AX4" s="44" t="n"/>
    </row>
    <row r="5">
      <c r="A5" s="29" t="inlineStr">
        <is>
          <t>Bolt Croatia</t>
        </is>
      </c>
      <c r="B5" s="29" t="inlineStr">
        <is>
          <t>Croatia</t>
        </is>
      </c>
      <c r="C5" s="30" t="inlineStr">
        <is>
          <t>Dubrovnik → Elaphiti Islands (Lopud / Šipan / Koločep)</t>
        </is>
      </c>
      <c r="D5" s="31" t="n">
        <v>8</v>
      </c>
      <c r="E5" s="26" t="n">
        <v>45.4</v>
      </c>
      <c r="F5" s="32" t="inlineStr">
        <is>
          <t>T2</t>
        </is>
      </c>
      <c r="G5" s="32" t="inlineStr">
        <is>
          <t>med</t>
        </is>
      </c>
      <c r="H5" s="19" t="n">
        <v>1</v>
      </c>
      <c r="I5" s="33">
        <f>60*D5/cruise_kt</f>
        <v/>
      </c>
      <c r="J5" s="33">
        <f>I5+turn_min+dwell_min</f>
        <v/>
      </c>
      <c r="K5" s="34">
        <f>MIN(10,FLOOR(60*service_hr/J5,1))</f>
        <v/>
      </c>
      <c r="L5" s="34">
        <f>ROUND(365*mech_uptime*H5,0)</f>
        <v/>
      </c>
      <c r="M5" s="35">
        <f>mech_uptime</f>
        <v/>
      </c>
      <c r="N5" s="35">
        <f>revleg_sel</f>
        <v/>
      </c>
      <c r="O5" s="34">
        <f>ROUND(K5*L5*revleg_sel,0)</f>
        <v/>
      </c>
      <c r="P5" s="36">
        <f>load_sel</f>
        <v/>
      </c>
      <c r="Q5" s="36">
        <f>pax_cap*P5</f>
        <v/>
      </c>
      <c r="R5" s="34">
        <f>Q5*O5</f>
        <v/>
      </c>
      <c r="S5" s="37">
        <f>E5*discount</f>
        <v/>
      </c>
      <c r="T5" s="38">
        <f>S5*R5</f>
        <v/>
      </c>
      <c r="U5" s="38">
        <f>(battery/range_nm)*D5*O5*VLOOKUP(B5,country_opex,3,FALSE)</f>
        <v/>
      </c>
      <c r="V5" s="38">
        <f>VLOOKUP(B5,country_opex,2,FALSE)*crew_factor</f>
        <v/>
      </c>
      <c r="W5" s="38">
        <f>VLOOKUP(B5,country_opex,5,FALSE)</f>
        <v/>
      </c>
      <c r="X5" s="38">
        <f>maint</f>
        <v/>
      </c>
      <c r="Y5" s="38">
        <f>VLOOKUP(B5,country_opex,7,FALSE)*ins_pct</f>
        <v/>
      </c>
      <c r="Z5" s="38">
        <f>charge_berth</f>
        <v/>
      </c>
      <c r="AA5" s="38">
        <f>U5+V5+W5+X5+Y5+Z5</f>
        <v/>
      </c>
      <c r="AB5" s="38">
        <f>VLOOKUP(B5,country_opex,7,FALSE)/dep_years</f>
        <v/>
      </c>
      <c r="AC5" s="38">
        <f>T5-AA5</f>
        <v/>
      </c>
      <c r="AD5" s="35">
        <f>IF(T5=0,"",AC5/T5)</f>
        <v/>
      </c>
      <c r="AE5" s="36">
        <f>IF(AC5&lt;=0,"",VLOOKUP(B5,country_opex,7,FALSE)/AC5)</f>
        <v/>
      </c>
      <c r="AF5" s="33">
        <f>((D5*O5/diesel_nmpg)*diesel_co2pg-(battery/range_nm)*D5*O5*VLOOKUP(B5,country_opex,4,FALSE))/1000</f>
        <v/>
      </c>
      <c r="AG5" s="31" t="n"/>
      <c r="AH5" s="32" t="n"/>
      <c r="AI5" s="32" t="n"/>
      <c r="AJ5" s="39" t="n">
        <v>0.1</v>
      </c>
      <c r="AK5" s="34">
        <f>IF(AG5="","",AG5*AJ5)</f>
        <v/>
      </c>
      <c r="AL5" s="34">
        <f>IF(OR(AG5="",R5=0),"",MIN(IF(AS5="",9.9E+99,AS5),FLOOR(AK5/R5,1)))</f>
        <v/>
      </c>
      <c r="AM5" s="38">
        <f>IF(AL5="","",AL5*T5)</f>
        <v/>
      </c>
      <c r="AN5" s="36">
        <f>IF(OR(AG5="",R5=0),"",MIN(IF(AS5="",9.9E+99,AS5),AK5/R5))</f>
        <v/>
      </c>
      <c r="AO5" s="38">
        <f>IF(AN5="","",AN5*T5)</f>
        <v/>
      </c>
      <c r="AP5" s="40" t="n"/>
      <c r="AQ5" s="41" t="n"/>
      <c r="AR5" s="41" t="n"/>
      <c r="AS5" s="42" t="n"/>
      <c r="AT5" s="43">
        <f>IF(((S5*pax_cap*load_thin*ROUND(K5*L5*revleg_thin,0))-(((battery/range_nm)*D5*ROUND(K5*L5*revleg_thin,0)*VLOOKUP(B5,country_opex,3,FALSE))+V5+W5+X5+Y5+Z5))&lt;=0,"",VLOOKUP(B5,country_opex,7,FALSE)/((S5*pax_cap*load_thin*ROUND(K5*L5*revleg_thin,0))-(((battery/range_nm)*D5*ROUND(K5*L5*revleg_thin,0)*VLOOKUP(B5,country_opex,3,FALSE))+V5+W5+X5+Y5+Z5)))</f>
        <v/>
      </c>
      <c r="AU5" s="43">
        <f>IF(((S5*pax_cap*load_mid*ROUND(K5*L5*revleg_mid,0))-(((battery/range_nm)*D5*ROUND(K5*L5*revleg_mid,0)*VLOOKUP(B5,country_opex,3,FALSE))+V5+W5+X5+Y5+Z5))&lt;=0,"",VLOOKUP(B5,country_opex,7,FALSE)/((S5*pax_cap*load_mid*ROUND(K5*L5*revleg_mid,0))-(((battery/range_nm)*D5*ROUND(K5*L5*revleg_mid,0)*VLOOKUP(B5,country_opex,3,FALSE))+V5+W5+X5+Y5+Z5)))</f>
        <v/>
      </c>
      <c r="AV5" s="43">
        <f>IF(((S5*pax_cap*load_full*ROUND(K5*L5*revleg_full,0))-(((battery/range_nm)*D5*ROUND(K5*L5*revleg_full,0)*VLOOKUP(B5,country_opex,3,FALSE))+V5+W5+X5+Y5+Z5))&lt;=0,"",VLOOKUP(B5,country_opex,7,FALSE)/((S5*pax_cap*load_full*ROUND(K5*L5*revleg_full,0))-(((battery/range_nm)*D5*ROUND(K5*L5*revleg_full,0)*VLOOKUP(B5,country_opex,3,FALSE))+V5+W5+X5+Y5+Z5)))</f>
        <v/>
      </c>
      <c r="AW5" s="44" t="inlineStr">
        <is>
          <t>PREMIUM tier: half-day Elaphiti speedboat/day-trip per-seat EUR 35-50 (machupicchu.org/getyourguide listings); midpoint ~EUR 42 x 1.08 = $45.4. (This is the tourist premium tier; the Jadrolinija local line is the commuter floor below.)</t>
        </is>
      </c>
      <c r="AX5" s="44" t="n"/>
    </row>
    <row r="6">
      <c r="A6" s="29" t="inlineStr">
        <is>
          <t>Bolt Croatia</t>
        </is>
      </c>
      <c r="B6" s="29" t="inlineStr">
        <is>
          <t>Croatia</t>
        </is>
      </c>
      <c r="C6" s="30" t="inlineStr">
        <is>
          <t>Split → Šolta (Rogač)</t>
        </is>
      </c>
      <c r="D6" s="31" t="n">
        <v>9</v>
      </c>
      <c r="E6" s="26" t="n">
        <v>7.6</v>
      </c>
      <c r="F6" s="32" t="inlineStr">
        <is>
          <t>T2</t>
        </is>
      </c>
      <c r="G6" s="32" t="inlineStr">
        <is>
          <t>med</t>
        </is>
      </c>
      <c r="H6" s="19" t="n">
        <v>1</v>
      </c>
      <c r="I6" s="33">
        <f>60*D6/cruise_kt</f>
        <v/>
      </c>
      <c r="J6" s="33">
        <f>I6+turn_min+dwell_min</f>
        <v/>
      </c>
      <c r="K6" s="34">
        <f>MIN(10,FLOOR(60*service_hr/J6,1))</f>
        <v/>
      </c>
      <c r="L6" s="34">
        <f>ROUND(365*mech_uptime*H6,0)</f>
        <v/>
      </c>
      <c r="M6" s="35">
        <f>mech_uptime</f>
        <v/>
      </c>
      <c r="N6" s="35">
        <f>revleg_sel</f>
        <v/>
      </c>
      <c r="O6" s="34">
        <f>ROUND(K6*L6*revleg_sel,0)</f>
        <v/>
      </c>
      <c r="P6" s="36">
        <f>load_sel</f>
        <v/>
      </c>
      <c r="Q6" s="36">
        <f>pax_cap*P6</f>
        <v/>
      </c>
      <c r="R6" s="34">
        <f>Q6*O6</f>
        <v/>
      </c>
      <c r="S6" s="37">
        <f>E6*discount</f>
        <v/>
      </c>
      <c r="T6" s="38">
        <f>S6*R6</f>
        <v/>
      </c>
      <c r="U6" s="38">
        <f>(battery/range_nm)*D6*O6*VLOOKUP(B6,country_opex,3,FALSE)</f>
        <v/>
      </c>
      <c r="V6" s="38">
        <f>VLOOKUP(B6,country_opex,2,FALSE)*crew_factor</f>
        <v/>
      </c>
      <c r="W6" s="38">
        <f>VLOOKUP(B6,country_opex,5,FALSE)</f>
        <v/>
      </c>
      <c r="X6" s="38">
        <f>maint</f>
        <v/>
      </c>
      <c r="Y6" s="38">
        <f>VLOOKUP(B6,country_opex,7,FALSE)*ins_pct</f>
        <v/>
      </c>
      <c r="Z6" s="38">
        <f>charge_berth</f>
        <v/>
      </c>
      <c r="AA6" s="38">
        <f>U6+V6+W6+X6+Y6+Z6</f>
        <v/>
      </c>
      <c r="AB6" s="38">
        <f>VLOOKUP(B6,country_opex,7,FALSE)/dep_years</f>
        <v/>
      </c>
      <c r="AC6" s="38">
        <f>T6-AA6</f>
        <v/>
      </c>
      <c r="AD6" s="35">
        <f>IF(T6=0,"",AC6/T6)</f>
        <v/>
      </c>
      <c r="AE6" s="36">
        <f>IF(AC6&lt;=0,"",VLOOKUP(B6,country_opex,7,FALSE)/AC6)</f>
        <v/>
      </c>
      <c r="AF6" s="33">
        <f>((D6*O6/diesel_nmpg)*diesel_co2pg-(battery/range_nm)*D6*O6*VLOOKUP(B6,country_opex,4,FALSE))/1000</f>
        <v/>
      </c>
      <c r="AG6" s="31" t="n"/>
      <c r="AH6" s="32" t="n"/>
      <c r="AI6" s="32" t="n"/>
      <c r="AJ6" s="39" t="n">
        <v>0.1</v>
      </c>
      <c r="AK6" s="34">
        <f>IF(AG6="","",AG6*AJ6)</f>
        <v/>
      </c>
      <c r="AL6" s="34">
        <f>IF(OR(AG6="",R6=0),"",MIN(IF(AS6="",9.9E+99,AS6),FLOOR(AK6/R6,1)))</f>
        <v/>
      </c>
      <c r="AM6" s="38">
        <f>IF(AL6="","",AL6*T6)</f>
        <v/>
      </c>
      <c r="AN6" s="36">
        <f>IF(OR(AG6="",R6=0),"",MIN(IF(AS6="",9.9E+99,AS6),AK6/R6))</f>
        <v/>
      </c>
      <c r="AO6" s="38">
        <f>IF(AN6="","",AN6*T6)</f>
        <v/>
      </c>
      <c r="AP6" s="40" t="n"/>
      <c r="AQ6" s="41" t="n"/>
      <c r="AR6" s="41" t="n"/>
      <c r="AS6" s="42" t="n"/>
      <c r="AT6" s="43">
        <f>IF(((S6*pax_cap*load_thin*ROUND(K6*L6*revleg_thin,0))-(((battery/range_nm)*D6*ROUND(K6*L6*revleg_thin,0)*VLOOKUP(B6,country_opex,3,FALSE))+V6+W6+X6+Y6+Z6))&lt;=0,"",VLOOKUP(B6,country_opex,7,FALSE)/((S6*pax_cap*load_thin*ROUND(K6*L6*revleg_thin,0))-(((battery/range_nm)*D6*ROUND(K6*L6*revleg_thin,0)*VLOOKUP(B6,country_opex,3,FALSE))+V6+W6+X6+Y6+Z6)))</f>
        <v/>
      </c>
      <c r="AU6" s="43">
        <f>IF(((S6*pax_cap*load_mid*ROUND(K6*L6*revleg_mid,0))-(((battery/range_nm)*D6*ROUND(K6*L6*revleg_mid,0)*VLOOKUP(B6,country_opex,3,FALSE))+V6+W6+X6+Y6+Z6))&lt;=0,"",VLOOKUP(B6,country_opex,7,FALSE)/((S6*pax_cap*load_mid*ROUND(K6*L6*revleg_mid,0))-(((battery/range_nm)*D6*ROUND(K6*L6*revleg_mid,0)*VLOOKUP(B6,country_opex,3,FALSE))+V6+W6+X6+Y6+Z6)))</f>
        <v/>
      </c>
      <c r="AV6" s="43">
        <f>IF(((S6*pax_cap*load_full*ROUND(K6*L6*revleg_full,0))-(((battery/range_nm)*D6*ROUND(K6*L6*revleg_full,0)*VLOOKUP(B6,country_opex,3,FALSE))+V6+W6+X6+Y6+Z6))&lt;=0,"",VLOOKUP(B6,country_opex,7,FALSE)/((S6*pax_cap*load_full*ROUND(K6*L6*revleg_full,0))-(((battery/range_nm)*D6*ROUND(K6*L6*revleg_full,0)*VLOOKUP(B6,country_opex,3,FALSE))+V6+W6+X6+Y6+Z6)))</f>
        <v/>
      </c>
      <c r="AW6" s="44" t="inlineStr">
        <is>
          <t>Split-Rogač is a commuter island line with no separate premium tourist catamaran tier -&gt; premium ~= scheduled fare. Jadrolinija catamaran/ferry adult ~EUR 5.70-7; modeled ~EUR 7 x 1.08 = $7.6 (LOW premium spread; essentially a commuter corridor).</t>
        </is>
      </c>
      <c r="AX6" s="44" t="n"/>
    </row>
    <row r="7">
      <c r="A7" s="29" t="inlineStr">
        <is>
          <t>Bolt Croatia</t>
        </is>
      </c>
      <c r="B7" s="29" t="inlineStr">
        <is>
          <t>Croatia</t>
        </is>
      </c>
      <c r="C7" s="30" t="inlineStr">
        <is>
          <t>Dubrovnik → Cavtat</t>
        </is>
      </c>
      <c r="D7" s="31" t="n">
        <v>9</v>
      </c>
      <c r="E7" s="26" t="n">
        <v>10.8</v>
      </c>
      <c r="F7" s="32" t="inlineStr">
        <is>
          <t>T2</t>
        </is>
      </c>
      <c r="G7" s="32" t="inlineStr">
        <is>
          <t>med</t>
        </is>
      </c>
      <c r="H7" s="19" t="n">
        <v>1</v>
      </c>
      <c r="I7" s="33">
        <f>60*D7/cruise_kt</f>
        <v/>
      </c>
      <c r="J7" s="33">
        <f>I7+turn_min+dwell_min</f>
        <v/>
      </c>
      <c r="K7" s="34">
        <f>MIN(16,FLOOR(60*service_hr/J7,1))</f>
        <v/>
      </c>
      <c r="L7" s="34">
        <f>ROUND(365*mech_uptime*H7,0)</f>
        <v/>
      </c>
      <c r="M7" s="35">
        <f>mech_uptime</f>
        <v/>
      </c>
      <c r="N7" s="35">
        <f>revleg_sel</f>
        <v/>
      </c>
      <c r="O7" s="34">
        <f>ROUND(K7*L7*revleg_sel,0)</f>
        <v/>
      </c>
      <c r="P7" s="36">
        <f>load_sel</f>
        <v/>
      </c>
      <c r="Q7" s="36">
        <f>pax_cap*P7</f>
        <v/>
      </c>
      <c r="R7" s="34">
        <f>Q7*O7</f>
        <v/>
      </c>
      <c r="S7" s="37">
        <f>E7*discount</f>
        <v/>
      </c>
      <c r="T7" s="38">
        <f>S7*R7</f>
        <v/>
      </c>
      <c r="U7" s="38">
        <f>(battery/range_nm)*D7*O7*VLOOKUP(B7,country_opex,3,FALSE)</f>
        <v/>
      </c>
      <c r="V7" s="38">
        <f>VLOOKUP(B7,country_opex,2,FALSE)*crew_factor</f>
        <v/>
      </c>
      <c r="W7" s="38">
        <f>VLOOKUP(B7,country_opex,5,FALSE)</f>
        <v/>
      </c>
      <c r="X7" s="38">
        <f>maint</f>
        <v/>
      </c>
      <c r="Y7" s="38">
        <f>VLOOKUP(B7,country_opex,7,FALSE)*ins_pct</f>
        <v/>
      </c>
      <c r="Z7" s="38">
        <f>charge_berth</f>
        <v/>
      </c>
      <c r="AA7" s="38">
        <f>U7+V7+W7+X7+Y7+Z7</f>
        <v/>
      </c>
      <c r="AB7" s="38">
        <f>VLOOKUP(B7,country_opex,7,FALSE)/dep_years</f>
        <v/>
      </c>
      <c r="AC7" s="38">
        <f>T7-AA7</f>
        <v/>
      </c>
      <c r="AD7" s="35">
        <f>IF(T7=0,"",AC7/T7)</f>
        <v/>
      </c>
      <c r="AE7" s="36">
        <f>IF(AC7&lt;=0,"",VLOOKUP(B7,country_opex,7,FALSE)/AC7)</f>
        <v/>
      </c>
      <c r="AF7" s="33">
        <f>((D7*O7/diesel_nmpg)*diesel_co2pg-(battery/range_nm)*D7*O7*VLOOKUP(B7,country_opex,4,FALSE))/1000</f>
        <v/>
      </c>
      <c r="AG7" s="31" t="n">
        <v>179000</v>
      </c>
      <c r="AH7" s="32" t="n"/>
      <c r="AI7" s="32" t="n"/>
      <c r="AJ7" s="39" t="n">
        <v>0.1</v>
      </c>
      <c r="AK7" s="34">
        <f>IF(AG7="","",AG7*AJ7)</f>
        <v/>
      </c>
      <c r="AL7" s="34">
        <f>IF(OR(AG7="",R7=0),"",MIN(IF(AS7="",9.9E+99,AS7),FLOOR(AK7/R7,1)))</f>
        <v/>
      </c>
      <c r="AM7" s="38">
        <f>IF(AL7="","",AL7*T7)</f>
        <v/>
      </c>
      <c r="AN7" s="36">
        <f>IF(OR(AG7="",R7=0),"",MIN(IF(AS7="",9.9E+99,AS7),AK7/R7))</f>
        <v/>
      </c>
      <c r="AO7" s="38">
        <f>IF(AN7="","",AN7*T7)</f>
        <v/>
      </c>
      <c r="AP7" s="40" t="n"/>
      <c r="AQ7" s="41" t="n"/>
      <c r="AR7" s="41" t="n"/>
      <c r="AS7" s="42" t="n"/>
      <c r="AT7" s="43">
        <f>IF(((S7*pax_cap*load_thin*ROUND(K7*L7*revleg_thin,0))-(((battery/range_nm)*D7*ROUND(K7*L7*revleg_thin,0)*VLOOKUP(B7,country_opex,3,FALSE))+V7+W7+X7+Y7+Z7))&lt;=0,"",VLOOKUP(B7,country_opex,7,FALSE)/((S7*pax_cap*load_thin*ROUND(K7*L7*revleg_thin,0))-(((battery/range_nm)*D7*ROUND(K7*L7*revleg_thin,0)*VLOOKUP(B7,country_opex,3,FALSE))+V7+W7+X7+Y7+Z7)))</f>
        <v/>
      </c>
      <c r="AU7" s="43">
        <f>IF(((S7*pax_cap*load_mid*ROUND(K7*L7*revleg_mid,0))-(((battery/range_nm)*D7*ROUND(K7*L7*revleg_mid,0)*VLOOKUP(B7,country_opex,3,FALSE))+V7+W7+X7+Y7+Z7))&lt;=0,"",VLOOKUP(B7,country_opex,7,FALSE)/((S7*pax_cap*load_mid*ROUND(K7*L7*revleg_mid,0))-(((battery/range_nm)*D7*ROUND(K7*L7*revleg_mid,0)*VLOOKUP(B7,country_opex,3,FALSE))+V7+W7+X7+Y7+Z7)))</f>
        <v/>
      </c>
      <c r="AV7" s="43">
        <f>IF(((S7*pax_cap*load_full*ROUND(K7*L7*revleg_full,0))-(((battery/range_nm)*D7*ROUND(K7*L7*revleg_full,0)*VLOOKUP(B7,country_opex,3,FALSE))+V7+W7+X7+Y7+Z7))&lt;=0,"",VLOOKUP(B7,country_opex,7,FALSE)/((S7*pax_cap*load_full*ROUND(K7*L7*revleg_full,0))-(((battery/range_nm)*D7*ROUND(K7*L7*revleg_full,0)*VLOOKUP(B7,country_opex,3,FALSE))+V7+W7+X7+Y7+Z7)))</f>
        <v/>
      </c>
      <c r="AW7" s="44" t="inlineStr">
        <is>
          <t>Scheduled water-taxi/boat Dubrovnik&lt;-&gt;Cavtat ~EUR 9-10 one-way (regular service via Mlini/Srebreno). EUR 10 x 1.08 = $10.8.</t>
        </is>
      </c>
      <c r="AX7" s="44" t="n"/>
    </row>
    <row r="8">
      <c r="A8" s="29" t="inlineStr">
        <is>
          <t>Bolt Croatia</t>
        </is>
      </c>
      <c r="B8" s="29" t="inlineStr">
        <is>
          <t>Croatia</t>
        </is>
      </c>
      <c r="C8" s="30" t="inlineStr">
        <is>
          <t>Dubrovnik Airport (Čilipi) → Dubrovnik / Cavtat (resort transfer)</t>
        </is>
      </c>
      <c r="D8" s="31" t="n">
        <v>10</v>
      </c>
      <c r="E8" s="26" t="n"/>
      <c r="F8" s="32" t="n"/>
      <c r="G8" s="32" t="n"/>
      <c r="H8" s="19" t="n">
        <v>1</v>
      </c>
      <c r="I8" s="33">
        <f>60*D8/cruise_kt</f>
        <v/>
      </c>
      <c r="J8" s="33">
        <f>I8+turn_min+dwell_min</f>
        <v/>
      </c>
      <c r="K8" s="34">
        <f>MIN(10,FLOOR(60*service_hr/J8,1))</f>
        <v/>
      </c>
      <c r="L8" s="34">
        <f>ROUND(365*mech_uptime*H8,0)</f>
        <v/>
      </c>
      <c r="M8" s="35">
        <f>mech_uptime</f>
        <v/>
      </c>
      <c r="N8" s="35">
        <f>revleg_sel</f>
        <v/>
      </c>
      <c r="O8" s="34">
        <f>ROUND(K8*L8*revleg_sel,0)</f>
        <v/>
      </c>
      <c r="P8" s="36">
        <f>load_sel</f>
        <v/>
      </c>
      <c r="Q8" s="36">
        <f>pax_cap*P8</f>
        <v/>
      </c>
      <c r="R8" s="34">
        <f>Q8*O8</f>
        <v/>
      </c>
      <c r="S8" s="37">
        <f>E8*discount</f>
        <v/>
      </c>
      <c r="T8" s="38">
        <f>S8*R8</f>
        <v/>
      </c>
      <c r="U8" s="38">
        <f>(battery/range_nm)*D8*O8*VLOOKUP(B8,country_opex,3,FALSE)</f>
        <v/>
      </c>
      <c r="V8" s="38">
        <f>VLOOKUP(B8,country_opex,2,FALSE)*crew_factor</f>
        <v/>
      </c>
      <c r="W8" s="38">
        <f>VLOOKUP(B8,country_opex,5,FALSE)</f>
        <v/>
      </c>
      <c r="X8" s="38">
        <f>maint</f>
        <v/>
      </c>
      <c r="Y8" s="38">
        <f>VLOOKUP(B8,country_opex,7,FALSE)*ins_pct</f>
        <v/>
      </c>
      <c r="Z8" s="38">
        <f>charge_berth</f>
        <v/>
      </c>
      <c r="AA8" s="38">
        <f>U8+V8+W8+X8+Y8+Z8</f>
        <v/>
      </c>
      <c r="AB8" s="38">
        <f>VLOOKUP(B8,country_opex,7,FALSE)/dep_years</f>
        <v/>
      </c>
      <c r="AC8" s="38">
        <f>T8-AA8</f>
        <v/>
      </c>
      <c r="AD8" s="35">
        <f>IF(T8=0,"",AC8/T8)</f>
        <v/>
      </c>
      <c r="AE8" s="36">
        <f>IF(AC8&lt;=0,"",VLOOKUP(B8,country_opex,7,FALSE)/AC8)</f>
        <v/>
      </c>
      <c r="AF8" s="33">
        <f>((D8*O8/diesel_nmpg)*diesel_co2pg-(battery/range_nm)*D8*O8*VLOOKUP(B8,country_opex,4,FALSE))/1000</f>
        <v/>
      </c>
      <c r="AG8" s="31" t="n"/>
      <c r="AH8" s="32" t="n"/>
      <c r="AI8" s="32" t="n"/>
      <c r="AJ8" s="39" t="n">
        <v>0.1</v>
      </c>
      <c r="AK8" s="34">
        <f>IF(AG8="","",AG8*AJ8)</f>
        <v/>
      </c>
      <c r="AL8" s="34">
        <f>IF(OR(AG8="",R8=0),"",MIN(IF(AS8="",9.9E+99,AS8),FLOOR(AK8/R8,1)))</f>
        <v/>
      </c>
      <c r="AM8" s="38">
        <f>IF(AL8="","",AL8*T8)</f>
        <v/>
      </c>
      <c r="AN8" s="36">
        <f>IF(OR(AG8="",R8=0),"",MIN(IF(AS8="",9.9E+99,AS8),AK8/R8))</f>
        <v/>
      </c>
      <c r="AO8" s="38">
        <f>IF(AN8="","",AN8*T8)</f>
        <v/>
      </c>
      <c r="AP8" s="40" t="n"/>
      <c r="AQ8" s="41" t="n"/>
      <c r="AR8" s="41" t="n"/>
      <c r="AS8" s="42" t="n"/>
      <c r="AT8" s="43">
        <f>IF(((S8*pax_cap*load_thin*ROUND(K8*L8*revleg_thin,0))-(((battery/range_nm)*D8*ROUND(K8*L8*revleg_thin,0)*VLOOKUP(B8,country_opex,3,FALSE))+V8+W8+X8+Y8+Z8))&lt;=0,"",VLOOKUP(B8,country_opex,7,FALSE)/((S8*pax_cap*load_thin*ROUND(K8*L8*revleg_thin,0))-(((battery/range_nm)*D8*ROUND(K8*L8*revleg_thin,0)*VLOOKUP(B8,country_opex,3,FALSE))+V8+W8+X8+Y8+Z8)))</f>
        <v/>
      </c>
      <c r="AU8" s="43">
        <f>IF(((S8*pax_cap*load_mid*ROUND(K8*L8*revleg_mid,0))-(((battery/range_nm)*D8*ROUND(K8*L8*revleg_mid,0)*VLOOKUP(B8,country_opex,3,FALSE))+V8+W8+X8+Y8+Z8))&lt;=0,"",VLOOKUP(B8,country_opex,7,FALSE)/((S8*pax_cap*load_mid*ROUND(K8*L8*revleg_mid,0))-(((battery/range_nm)*D8*ROUND(K8*L8*revleg_mid,0)*VLOOKUP(B8,country_opex,3,FALSE))+V8+W8+X8+Y8+Z8)))</f>
        <v/>
      </c>
      <c r="AV8" s="43">
        <f>IF(((S8*pax_cap*load_full*ROUND(K8*L8*revleg_full,0))-(((battery/range_nm)*D8*ROUND(K8*L8*revleg_full,0)*VLOOKUP(B8,country_opex,3,FALSE))+V8+W8+X8+Y8+Z8))&lt;=0,"",VLOOKUP(B8,country_opex,7,FALSE)/((S8*pax_cap*load_full*ROUND(K8*L8*revleg_full,0))-(((battery/range_nm)*D8*ROUND(K8*L8*revleg_full,0)*VLOOKUP(B8,country_opex,3,FALSE))+V8+W8+X8+Y8+Z8)))</f>
        <v/>
      </c>
      <c r="AW8" s="44" t="n"/>
      <c r="AX8" s="44" t="n"/>
    </row>
    <row r="9">
      <c r="A9" s="29" t="inlineStr">
        <is>
          <t>Bolt Croatia</t>
        </is>
      </c>
      <c r="B9" s="29" t="inlineStr">
        <is>
          <t>Croatia</t>
        </is>
      </c>
      <c r="C9" s="30" t="inlineStr">
        <is>
          <t>Split → Brač (Bol)</t>
        </is>
      </c>
      <c r="D9" s="31" t="n">
        <v>12</v>
      </c>
      <c r="E9" s="26" t="n">
        <v>23.5</v>
      </c>
      <c r="F9" s="32" t="inlineStr">
        <is>
          <t>T2</t>
        </is>
      </c>
      <c r="G9" s="32" t="inlineStr">
        <is>
          <t>med</t>
        </is>
      </c>
      <c r="H9" s="19" t="n">
        <v>1</v>
      </c>
      <c r="I9" s="33">
        <f>60*D9/cruise_kt</f>
        <v/>
      </c>
      <c r="J9" s="33">
        <f>I9+turn_min+dwell_min</f>
        <v/>
      </c>
      <c r="K9" s="34">
        <f>MIN(10,FLOOR(60*service_hr/J9,1))</f>
        <v/>
      </c>
      <c r="L9" s="34">
        <f>ROUND(365*mech_uptime*H9,0)</f>
        <v/>
      </c>
      <c r="M9" s="35">
        <f>mech_uptime</f>
        <v/>
      </c>
      <c r="N9" s="35">
        <f>revleg_sel</f>
        <v/>
      </c>
      <c r="O9" s="34">
        <f>ROUND(K9*L9*revleg_sel,0)</f>
        <v/>
      </c>
      <c r="P9" s="36">
        <f>load_sel</f>
        <v/>
      </c>
      <c r="Q9" s="36">
        <f>pax_cap*P9</f>
        <v/>
      </c>
      <c r="R9" s="34">
        <f>Q9*O9</f>
        <v/>
      </c>
      <c r="S9" s="37">
        <f>E9*discount</f>
        <v/>
      </c>
      <c r="T9" s="38">
        <f>S9*R9</f>
        <v/>
      </c>
      <c r="U9" s="38">
        <f>(battery/range_nm)*D9*O9*VLOOKUP(B9,country_opex,3,FALSE)</f>
        <v/>
      </c>
      <c r="V9" s="38">
        <f>VLOOKUP(B9,country_opex,2,FALSE)*crew_factor</f>
        <v/>
      </c>
      <c r="W9" s="38">
        <f>VLOOKUP(B9,country_opex,5,FALSE)</f>
        <v/>
      </c>
      <c r="X9" s="38">
        <f>maint</f>
        <v/>
      </c>
      <c r="Y9" s="38">
        <f>VLOOKUP(B9,country_opex,7,FALSE)*ins_pct</f>
        <v/>
      </c>
      <c r="Z9" s="38">
        <f>charge_berth</f>
        <v/>
      </c>
      <c r="AA9" s="38">
        <f>U9+V9+W9+X9+Y9+Z9</f>
        <v/>
      </c>
      <c r="AB9" s="38">
        <f>VLOOKUP(B9,country_opex,7,FALSE)/dep_years</f>
        <v/>
      </c>
      <c r="AC9" s="38">
        <f>T9-AA9</f>
        <v/>
      </c>
      <c r="AD9" s="35">
        <f>IF(T9=0,"",AC9/T9)</f>
        <v/>
      </c>
      <c r="AE9" s="36">
        <f>IF(AC9&lt;=0,"",VLOOKUP(B9,country_opex,7,FALSE)/AC9)</f>
        <v/>
      </c>
      <c r="AF9" s="33">
        <f>((D9*O9/diesel_nmpg)*diesel_co2pg-(battery/range_nm)*D9*O9*VLOOKUP(B9,country_opex,4,FALSE))/1000</f>
        <v/>
      </c>
      <c r="AG9" s="31" t="n">
        <v>400000</v>
      </c>
      <c r="AH9" s="32" t="n"/>
      <c r="AI9" s="32" t="n"/>
      <c r="AJ9" s="39" t="n">
        <v>0.1</v>
      </c>
      <c r="AK9" s="34">
        <f>IF(AG9="","",AG9*AJ9)</f>
        <v/>
      </c>
      <c r="AL9" s="34">
        <f>IF(OR(AG9="",R9=0),"",MIN(IF(AS9="",9.9E+99,AS9),FLOOR(AK9/R9,1)))</f>
        <v/>
      </c>
      <c r="AM9" s="38">
        <f>IF(AL9="","",AL9*T9)</f>
        <v/>
      </c>
      <c r="AN9" s="36">
        <f>IF(OR(AG9="",R9=0),"",MIN(IF(AS9="",9.9E+99,AS9),AK9/R9))</f>
        <v/>
      </c>
      <c r="AO9" s="38">
        <f>IF(AN9="","",AN9*T9)</f>
        <v/>
      </c>
      <c r="AP9" s="40" t="n"/>
      <c r="AQ9" s="41" t="n"/>
      <c r="AR9" s="41" t="n"/>
      <c r="AS9" s="42" t="n"/>
      <c r="AT9" s="43">
        <f>IF(((S9*pax_cap*load_thin*ROUND(K9*L9*revleg_thin,0))-(((battery/range_nm)*D9*ROUND(K9*L9*revleg_thin,0)*VLOOKUP(B9,country_opex,3,FALSE))+V9+W9+X9+Y9+Z9))&lt;=0,"",VLOOKUP(B9,country_opex,7,FALSE)/((S9*pax_cap*load_thin*ROUND(K9*L9*revleg_thin,0))-(((battery/range_nm)*D9*ROUND(K9*L9*revleg_thin,0)*VLOOKUP(B9,country_opex,3,FALSE))+V9+W9+X9+Y9+Z9)))</f>
        <v/>
      </c>
      <c r="AU9" s="43">
        <f>IF(((S9*pax_cap*load_mid*ROUND(K9*L9*revleg_mid,0))-(((battery/range_nm)*D9*ROUND(K9*L9*revleg_mid,0)*VLOOKUP(B9,country_opex,3,FALSE))+V9+W9+X9+Y9+Z9))&lt;=0,"",VLOOKUP(B9,country_opex,7,FALSE)/((S9*pax_cap*load_mid*ROUND(K9*L9*revleg_mid,0))-(((battery/range_nm)*D9*ROUND(K9*L9*revleg_mid,0)*VLOOKUP(B9,country_opex,3,FALSE))+V9+W9+X9+Y9+Z9)))</f>
        <v/>
      </c>
      <c r="AV9" s="43">
        <f>IF(((S9*pax_cap*load_full*ROUND(K9*L9*revleg_full,0))-(((battery/range_nm)*D9*ROUND(K9*L9*revleg_full,0)*VLOOKUP(B9,country_opex,3,FALSE))+V9+W9+X9+Y9+Z9))&lt;=0,"",VLOOKUP(B9,country_opex,7,FALSE)/((S9*pax_cap*load_full*ROUND(K9*L9*revleg_full,0))-(((battery/range_nm)*D9*ROUND(K9*L9*revleg_full,0)*VLOOKUP(B9,country_opex,3,FALSE))+V9+W9+X9+Y9+Z9)))</f>
        <v/>
      </c>
      <c r="AW9" s="44" t="inlineStr">
        <is>
          <t>PREMIUM tier: seasonal fast catamaran Split-&gt;Bol adult EUR 20-23 (Jadrolinija Split-Bol-Jelsa EUR 20; Krilo/Jadrolinija from EUR 23). Midpoint ~EUR 21.7 x 1.08 = $23.5.</t>
        </is>
      </c>
      <c r="AX9" s="44" t="n"/>
    </row>
    <row r="10">
      <c r="A10" s="29" t="inlineStr">
        <is>
          <t>Bolt Croatia</t>
        </is>
      </c>
      <c r="B10" s="29" t="inlineStr">
        <is>
          <t>Croatia</t>
        </is>
      </c>
      <c r="C10" s="30" t="inlineStr">
        <is>
          <t>Split Airport (Resnik / Trogir) → Split / Brač / Hvar (resort &amp; island transfer)</t>
        </is>
      </c>
      <c r="D10" s="31" t="n">
        <v>12</v>
      </c>
      <c r="E10" s="26" t="n">
        <v>27</v>
      </c>
      <c r="F10" s="32" t="inlineStr">
        <is>
          <t>T2</t>
        </is>
      </c>
      <c r="G10" s="32" t="inlineStr">
        <is>
          <t>med</t>
        </is>
      </c>
      <c r="H10" s="19" t="n">
        <v>1</v>
      </c>
      <c r="I10" s="33">
        <f>60*D10/cruise_kt</f>
        <v/>
      </c>
      <c r="J10" s="33">
        <f>I10+turn_min+dwell_min</f>
        <v/>
      </c>
      <c r="K10" s="34">
        <f>MIN(10,FLOOR(60*service_hr/J10,1))</f>
        <v/>
      </c>
      <c r="L10" s="34">
        <f>ROUND(365*mech_uptime*H10,0)</f>
        <v/>
      </c>
      <c r="M10" s="35">
        <f>mech_uptime</f>
        <v/>
      </c>
      <c r="N10" s="35">
        <f>revleg_sel</f>
        <v/>
      </c>
      <c r="O10" s="34">
        <f>ROUND(K10*L10*revleg_sel,0)</f>
        <v/>
      </c>
      <c r="P10" s="36">
        <f>load_sel</f>
        <v/>
      </c>
      <c r="Q10" s="36">
        <f>pax_cap*P10</f>
        <v/>
      </c>
      <c r="R10" s="34">
        <f>Q10*O10</f>
        <v/>
      </c>
      <c r="S10" s="37">
        <f>E10*discount</f>
        <v/>
      </c>
      <c r="T10" s="38">
        <f>S10*R10</f>
        <v/>
      </c>
      <c r="U10" s="38">
        <f>(battery/range_nm)*D10*O10*VLOOKUP(B10,country_opex,3,FALSE)</f>
        <v/>
      </c>
      <c r="V10" s="38">
        <f>VLOOKUP(B10,country_opex,2,FALSE)*crew_factor</f>
        <v/>
      </c>
      <c r="W10" s="38">
        <f>VLOOKUP(B10,country_opex,5,FALSE)</f>
        <v/>
      </c>
      <c r="X10" s="38">
        <f>maint</f>
        <v/>
      </c>
      <c r="Y10" s="38">
        <f>VLOOKUP(B10,country_opex,7,FALSE)*ins_pct</f>
        <v/>
      </c>
      <c r="Z10" s="38">
        <f>charge_berth</f>
        <v/>
      </c>
      <c r="AA10" s="38">
        <f>U10+V10+W10+X10+Y10+Z10</f>
        <v/>
      </c>
      <c r="AB10" s="38">
        <f>VLOOKUP(B10,country_opex,7,FALSE)/dep_years</f>
        <v/>
      </c>
      <c r="AC10" s="38">
        <f>T10-AA10</f>
        <v/>
      </c>
      <c r="AD10" s="35">
        <f>IF(T10=0,"",AC10/T10)</f>
        <v/>
      </c>
      <c r="AE10" s="36">
        <f>IF(AC10&lt;=0,"",VLOOKUP(B10,country_opex,7,FALSE)/AC10)</f>
        <v/>
      </c>
      <c r="AF10" s="33">
        <f>((D10*O10/diesel_nmpg)*diesel_co2pg-(battery/range_nm)*D10*O10*VLOOKUP(B10,country_opex,4,FALSE))/1000</f>
        <v/>
      </c>
      <c r="AG10" s="31" t="n"/>
      <c r="AH10" s="32" t="n"/>
      <c r="AI10" s="32" t="n"/>
      <c r="AJ10" s="39" t="n">
        <v>0.1</v>
      </c>
      <c r="AK10" s="34">
        <f>IF(AG10="","",AG10*AJ10)</f>
        <v/>
      </c>
      <c r="AL10" s="34">
        <f>IF(OR(AG10="",R10=0),"",MIN(IF(AS10="",9.9E+99,AS10),FLOOR(AK10/R10,1)))</f>
        <v/>
      </c>
      <c r="AM10" s="38">
        <f>IF(AL10="","",AL10*T10)</f>
        <v/>
      </c>
      <c r="AN10" s="36">
        <f>IF(OR(AG10="",R10=0),"",MIN(IF(AS10="",9.9E+99,AS10),AK10/R10))</f>
        <v/>
      </c>
      <c r="AO10" s="38">
        <f>IF(AN10="","",AN10*T10)</f>
        <v/>
      </c>
      <c r="AP10" s="40" t="n"/>
      <c r="AQ10" s="41" t="n"/>
      <c r="AR10" s="41" t="n"/>
      <c r="AS10" s="42" t="n"/>
      <c r="AT10" s="43">
        <f>IF(((S10*pax_cap*load_thin*ROUND(K10*L10*revleg_thin,0))-(((battery/range_nm)*D10*ROUND(K10*L10*revleg_thin,0)*VLOOKUP(B10,country_opex,3,FALSE))+V10+W10+X10+Y10+Z10))&lt;=0,"",VLOOKUP(B10,country_opex,7,FALSE)/((S10*pax_cap*load_thin*ROUND(K10*L10*revleg_thin,0))-(((battery/range_nm)*D10*ROUND(K10*L10*revleg_thin,0)*VLOOKUP(B10,country_opex,3,FALSE))+V10+W10+X10+Y10+Z10)))</f>
        <v/>
      </c>
      <c r="AU10" s="43">
        <f>IF(((S10*pax_cap*load_mid*ROUND(K10*L10*revleg_mid,0))-(((battery/range_nm)*D10*ROUND(K10*L10*revleg_mid,0)*VLOOKUP(B10,country_opex,3,FALSE))+V10+W10+X10+Y10+Z10))&lt;=0,"",VLOOKUP(B10,country_opex,7,FALSE)/((S10*pax_cap*load_mid*ROUND(K10*L10*revleg_mid,0))-(((battery/range_nm)*D10*ROUND(K10*L10*revleg_mid,0)*VLOOKUP(B10,country_opex,3,FALSE))+V10+W10+X10+Y10+Z10)))</f>
        <v/>
      </c>
      <c r="AV10" s="43">
        <f>IF(((S10*pax_cap*load_full*ROUND(K10*L10*revleg_full,0))-(((battery/range_nm)*D10*ROUND(K10*L10*revleg_full,0)*VLOOKUP(B10,country_opex,3,FALSE))+V10+W10+X10+Y10+Z10))&lt;=0,"",VLOOKUP(B10,country_opex,7,FALSE)/((S10*pax_cap*load_full*ROUND(K10*L10*revleg_full,0))-(((battery/range_nm)*D10*ROUND(K10*L10*revleg_full,0)*VLOOKUP(B10,country_opex,3,FALSE))+V10+W10+X10+Y10+Z10)))</f>
        <v/>
      </c>
      <c r="AW10" s="44" t="inlineStr">
        <is>
          <t>Charter-divided per-seat: private speedboat Split Airport-&gt;island ~EUR 250/boat for up to ~10-12 pax (GetMyBoat) -&gt; ~EUR 25/seat x 1.08 = $27.0. (Premium transfer product, not a scheduled liner.)</t>
        </is>
      </c>
      <c r="AX10" s="44" t="n"/>
    </row>
    <row r="11">
      <c r="A11" s="29" t="inlineStr">
        <is>
          <t>Bolt Croatia</t>
        </is>
      </c>
      <c r="B11" s="29" t="inlineStr">
        <is>
          <t>Croatia</t>
        </is>
      </c>
      <c r="C11" s="30" t="inlineStr">
        <is>
          <t>Zadar (Murter / Biograd gateway) → Kornati National Park</t>
        </is>
      </c>
      <c r="D11" s="31" t="n">
        <v>20</v>
      </c>
      <c r="E11" s="26" t="n">
        <v>75.59999999999999</v>
      </c>
      <c r="F11" s="32" t="inlineStr">
        <is>
          <t>T2</t>
        </is>
      </c>
      <c r="G11" s="32" t="inlineStr">
        <is>
          <t>med</t>
        </is>
      </c>
      <c r="H11" s="19" t="n">
        <v>1</v>
      </c>
      <c r="I11" s="33">
        <f>60*D11/cruise_kt</f>
        <v/>
      </c>
      <c r="J11" s="33">
        <f>I11+turn_min+dwell_min</f>
        <v/>
      </c>
      <c r="K11" s="34">
        <f>MIN(10,FLOOR(60*service_hr/J11,1))</f>
        <v/>
      </c>
      <c r="L11" s="34">
        <f>ROUND(365*mech_uptime*H11,0)</f>
        <v/>
      </c>
      <c r="M11" s="35">
        <f>mech_uptime</f>
        <v/>
      </c>
      <c r="N11" s="35">
        <f>revleg_sel</f>
        <v/>
      </c>
      <c r="O11" s="34">
        <f>ROUND(K11*L11*revleg_sel,0)</f>
        <v/>
      </c>
      <c r="P11" s="36">
        <f>load_sel</f>
        <v/>
      </c>
      <c r="Q11" s="36">
        <f>pax_cap*P11</f>
        <v/>
      </c>
      <c r="R11" s="34">
        <f>Q11*O11</f>
        <v/>
      </c>
      <c r="S11" s="37">
        <f>E11*discount</f>
        <v/>
      </c>
      <c r="T11" s="38">
        <f>S11*R11</f>
        <v/>
      </c>
      <c r="U11" s="38">
        <f>(battery/range_nm)*D11*O11*VLOOKUP(B11,country_opex,3,FALSE)</f>
        <v/>
      </c>
      <c r="V11" s="38">
        <f>VLOOKUP(B11,country_opex,2,FALSE)*crew_factor</f>
        <v/>
      </c>
      <c r="W11" s="38">
        <f>VLOOKUP(B11,country_opex,5,FALSE)</f>
        <v/>
      </c>
      <c r="X11" s="38">
        <f>maint</f>
        <v/>
      </c>
      <c r="Y11" s="38">
        <f>VLOOKUP(B11,country_opex,7,FALSE)*ins_pct</f>
        <v/>
      </c>
      <c r="Z11" s="38">
        <f>charge_berth</f>
        <v/>
      </c>
      <c r="AA11" s="38">
        <f>U11+V11+W11+X11+Y11+Z11</f>
        <v/>
      </c>
      <c r="AB11" s="38">
        <f>VLOOKUP(B11,country_opex,7,FALSE)/dep_years</f>
        <v/>
      </c>
      <c r="AC11" s="38">
        <f>T11-AA11</f>
        <v/>
      </c>
      <c r="AD11" s="35">
        <f>IF(T11=0,"",AC11/T11)</f>
        <v/>
      </c>
      <c r="AE11" s="36">
        <f>IF(AC11&lt;=0,"",VLOOKUP(B11,country_opex,7,FALSE)/AC11)</f>
        <v/>
      </c>
      <c r="AF11" s="33">
        <f>((D11*O11/diesel_nmpg)*diesel_co2pg-(battery/range_nm)*D11*O11*VLOOKUP(B11,country_opex,4,FALSE))/1000</f>
        <v/>
      </c>
      <c r="AG11" s="31" t="n">
        <v>110000</v>
      </c>
      <c r="AH11" s="32" t="n"/>
      <c r="AI11" s="32" t="n"/>
      <c r="AJ11" s="39" t="n">
        <v>0.1</v>
      </c>
      <c r="AK11" s="34">
        <f>IF(AG11="","",AG11*AJ11)</f>
        <v/>
      </c>
      <c r="AL11" s="34">
        <f>IF(OR(AG11="",R11=0),"",MIN(IF(AS11="",9.9E+99,AS11),FLOOR(AK11/R11,1)))</f>
        <v/>
      </c>
      <c r="AM11" s="38">
        <f>IF(AL11="","",AL11*T11)</f>
        <v/>
      </c>
      <c r="AN11" s="36">
        <f>IF(OR(AG11="",R11=0),"",MIN(IF(AS11="",9.9E+99,AS11),AK11/R11))</f>
        <v/>
      </c>
      <c r="AO11" s="38">
        <f>IF(AN11="","",AN11*T11)</f>
        <v/>
      </c>
      <c r="AP11" s="40" t="n"/>
      <c r="AQ11" s="41" t="n"/>
      <c r="AR11" s="41" t="n"/>
      <c r="AS11" s="42" t="n"/>
      <c r="AT11" s="43">
        <f>IF(((S11*pax_cap*load_thin*ROUND(K11*L11*revleg_thin,0))-(((battery/range_nm)*D11*ROUND(K11*L11*revleg_thin,0)*VLOOKUP(B11,country_opex,3,FALSE))+V11+W11+X11+Y11+Z11))&lt;=0,"",VLOOKUP(B11,country_opex,7,FALSE)/((S11*pax_cap*load_thin*ROUND(K11*L11*revleg_thin,0))-(((battery/range_nm)*D11*ROUND(K11*L11*revleg_thin,0)*VLOOKUP(B11,country_opex,3,FALSE))+V11+W11+X11+Y11+Z11)))</f>
        <v/>
      </c>
      <c r="AU11" s="43">
        <f>IF(((S11*pax_cap*load_mid*ROUND(K11*L11*revleg_mid,0))-(((battery/range_nm)*D11*ROUND(K11*L11*revleg_mid,0)*VLOOKUP(B11,country_opex,3,FALSE))+V11+W11+X11+Y11+Z11))&lt;=0,"",VLOOKUP(B11,country_opex,7,FALSE)/((S11*pax_cap*load_mid*ROUND(K11*L11*revleg_mid,0))-(((battery/range_nm)*D11*ROUND(K11*L11*revleg_mid,0)*VLOOKUP(B11,country_opex,3,FALSE))+V11+W11+X11+Y11+Z11)))</f>
        <v/>
      </c>
      <c r="AV11" s="43">
        <f>IF(((S11*pax_cap*load_full*ROUND(K11*L11*revleg_full,0))-(((battery/range_nm)*D11*ROUND(K11*L11*revleg_full,0)*VLOOKUP(B11,country_opex,3,FALSE))+V11+W11+X11+Y11+Z11))&lt;=0,"",VLOOKUP(B11,country_opex,7,FALSE)/((S11*pax_cap*load_full*ROUND(K11*L11*revleg_full,0))-(((battery/range_nm)*D11*ROUND(K11*L11*revleg_full,0)*VLOOKUP(B11,country_opex,3,FALSE))+V11+W11+X11+Y11+Z11)))</f>
        <v/>
      </c>
      <c r="AW11" s="44" t="inlineStr">
        <is>
          <t>PREMIUM tier: full-day Kornati boat excursion per-seat ~EUR 70 (typical EUR 60-90, often incl. NP entry + lunch) from Zadar/Murter/Biograd. EUR 70 x 1.08 = $75.6. NOTE: this bundles park entry + sometimes lunch, so it overstates a pure point-to-point fast-craft seat; no scheduled liner exists to Kornati.</t>
        </is>
      </c>
      <c r="AX11" s="44" t="n"/>
    </row>
    <row r="12">
      <c r="A12" s="29" t="inlineStr">
        <is>
          <t>Bolt Croatia</t>
        </is>
      </c>
      <c r="B12" s="29" t="inlineStr">
        <is>
          <t>Croatia</t>
        </is>
      </c>
      <c r="C12" s="30" t="inlineStr">
        <is>
          <t>Split → Hvar</t>
        </is>
      </c>
      <c r="D12" s="31" t="n">
        <v>22</v>
      </c>
      <c r="E12" s="26" t="n">
        <v>27</v>
      </c>
      <c r="F12" s="32" t="inlineStr">
        <is>
          <t>T2</t>
        </is>
      </c>
      <c r="G12" s="32" t="inlineStr">
        <is>
          <t>med</t>
        </is>
      </c>
      <c r="H12" s="19" t="n">
        <v>1</v>
      </c>
      <c r="I12" s="33">
        <f>60*D12/cruise_kt</f>
        <v/>
      </c>
      <c r="J12" s="33">
        <f>I12+turn_min+dwell_min</f>
        <v/>
      </c>
      <c r="K12" s="34">
        <f>MIN(10,FLOOR(60*service_hr/J12,1))</f>
        <v/>
      </c>
      <c r="L12" s="34">
        <f>ROUND(365*mech_uptime*H12,0)</f>
        <v/>
      </c>
      <c r="M12" s="35">
        <f>mech_uptime</f>
        <v/>
      </c>
      <c r="N12" s="35">
        <f>revleg_sel</f>
        <v/>
      </c>
      <c r="O12" s="34">
        <f>ROUND(K12*L12*revleg_sel,0)</f>
        <v/>
      </c>
      <c r="P12" s="36">
        <f>load_sel</f>
        <v/>
      </c>
      <c r="Q12" s="36">
        <f>pax_cap*P12</f>
        <v/>
      </c>
      <c r="R12" s="34">
        <f>Q12*O12</f>
        <v/>
      </c>
      <c r="S12" s="37">
        <f>E12*discount</f>
        <v/>
      </c>
      <c r="T12" s="38">
        <f>S12*R12</f>
        <v/>
      </c>
      <c r="U12" s="38">
        <f>(battery/range_nm)*D12*O12*VLOOKUP(B12,country_opex,3,FALSE)</f>
        <v/>
      </c>
      <c r="V12" s="38">
        <f>VLOOKUP(B12,country_opex,2,FALSE)*crew_factor</f>
        <v/>
      </c>
      <c r="W12" s="38">
        <f>VLOOKUP(B12,country_opex,5,FALSE)</f>
        <v/>
      </c>
      <c r="X12" s="38">
        <f>maint</f>
        <v/>
      </c>
      <c r="Y12" s="38">
        <f>VLOOKUP(B12,country_opex,7,FALSE)*ins_pct</f>
        <v/>
      </c>
      <c r="Z12" s="38">
        <f>charge_berth</f>
        <v/>
      </c>
      <c r="AA12" s="38">
        <f>U12+V12+W12+X12+Y12+Z12</f>
        <v/>
      </c>
      <c r="AB12" s="38">
        <f>VLOOKUP(B12,country_opex,7,FALSE)/dep_years</f>
        <v/>
      </c>
      <c r="AC12" s="38">
        <f>T12-AA12</f>
        <v/>
      </c>
      <c r="AD12" s="35">
        <f>IF(T12=0,"",AC12/T12)</f>
        <v/>
      </c>
      <c r="AE12" s="36">
        <f>IF(AC12&lt;=0,"",VLOOKUP(B12,country_opex,7,FALSE)/AC12)</f>
        <v/>
      </c>
      <c r="AF12" s="33">
        <f>((D12*O12/diesel_nmpg)*diesel_co2pg-(battery/range_nm)*D12*O12*VLOOKUP(B12,country_opex,4,FALSE))/1000</f>
        <v/>
      </c>
      <c r="AG12" s="31" t="n">
        <v>550000</v>
      </c>
      <c r="AH12" s="32" t="n"/>
      <c r="AI12" s="32" t="n"/>
      <c r="AJ12" s="39" t="n">
        <v>0.1</v>
      </c>
      <c r="AK12" s="34">
        <f>IF(AG12="","",AG12*AJ12)</f>
        <v/>
      </c>
      <c r="AL12" s="34">
        <f>IF(OR(AG12="",R12=0),"",MIN(IF(AS12="",9.9E+99,AS12),FLOOR(AK12/R12,1)))</f>
        <v/>
      </c>
      <c r="AM12" s="38">
        <f>IF(AL12="","",AL12*T12)</f>
        <v/>
      </c>
      <c r="AN12" s="36">
        <f>IF(OR(AG12="",R12=0),"",MIN(IF(AS12="",9.9E+99,AS12),AK12/R12))</f>
        <v/>
      </c>
      <c r="AO12" s="38">
        <f>IF(AN12="","",AN12*T12)</f>
        <v/>
      </c>
      <c r="AP12" s="40" t="n"/>
      <c r="AQ12" s="41" t="n"/>
      <c r="AR12" s="41" t="n"/>
      <c r="AS12" s="42" t="n"/>
      <c r="AT12" s="43">
        <f>IF(((S12*pax_cap*load_thin*ROUND(K12*L12*revleg_thin,0))-(((battery/range_nm)*D12*ROUND(K12*L12*revleg_thin,0)*VLOOKUP(B12,country_opex,3,FALSE))+V12+W12+X12+Y12+Z12))&lt;=0,"",VLOOKUP(B12,country_opex,7,FALSE)/((S12*pax_cap*load_thin*ROUND(K12*L12*revleg_thin,0))-(((battery/range_nm)*D12*ROUND(K12*L12*revleg_thin,0)*VLOOKUP(B12,country_opex,3,FALSE))+V12+W12+X12+Y12+Z12)))</f>
        <v/>
      </c>
      <c r="AU12" s="43">
        <f>IF(((S12*pax_cap*load_mid*ROUND(K12*L12*revleg_mid,0))-(((battery/range_nm)*D12*ROUND(K12*L12*revleg_mid,0)*VLOOKUP(B12,country_opex,3,FALSE))+V12+W12+X12+Y12+Z12))&lt;=0,"",VLOOKUP(B12,country_opex,7,FALSE)/((S12*pax_cap*load_mid*ROUND(K12*L12*revleg_mid,0))-(((battery/range_nm)*D12*ROUND(K12*L12*revleg_mid,0)*VLOOKUP(B12,country_opex,3,FALSE))+V12+W12+X12+Y12+Z12)))</f>
        <v/>
      </c>
      <c r="AV12" s="43">
        <f>IF(((S12*pax_cap*load_full*ROUND(K12*L12*revleg_full,0))-(((battery/range_nm)*D12*ROUND(K12*L12*revleg_full,0)*VLOOKUP(B12,country_opex,3,FALSE))+V12+W12+X12+Y12+Z12))&lt;=0,"",VLOOKUP(B12,country_opex,7,FALSE)/((S12*pax_cap*load_full*ROUND(K12*L12*revleg_full,0))-(((battery/range_nm)*D12*ROUND(K12*L12*revleg_full,0)*VLOOKUP(B12,country_opex,3,FALSE))+V12+W12+X12+Y12+Z12)))</f>
        <v/>
      </c>
      <c r="AW12" s="44" t="inlineStr">
        <is>
          <t>PREMIUM tier: scheduled fast tourist catamaran Split-&gt;Hvar Town adult ~EUR 25 (Kapetan Luka 'Krilo', TP Line, Adriatic Fast Ferries, Jadrolinija fast cat). EUR 25 x 1.08 = $27.0.</t>
        </is>
      </c>
      <c r="AX12" s="44" t="n"/>
    </row>
    <row r="13">
      <c r="A13" s="29" t="inlineStr">
        <is>
          <t>Bolt Croatia</t>
        </is>
      </c>
      <c r="B13" s="29" t="inlineStr">
        <is>
          <t>Croatia</t>
        </is>
      </c>
      <c r="C13" s="30" t="inlineStr">
        <is>
          <t>Dubrovnik → Mljet (Polače / Sobra)</t>
        </is>
      </c>
      <c r="D13" s="31" t="n">
        <v>22</v>
      </c>
      <c r="E13" s="26" t="n">
        <v>21.6</v>
      </c>
      <c r="F13" s="32" t="inlineStr">
        <is>
          <t>T2</t>
        </is>
      </c>
      <c r="G13" s="32" t="inlineStr">
        <is>
          <t>med</t>
        </is>
      </c>
      <c r="H13" s="19" t="n">
        <v>1</v>
      </c>
      <c r="I13" s="33">
        <f>60*D13/cruise_kt</f>
        <v/>
      </c>
      <c r="J13" s="33">
        <f>I13+turn_min+dwell_min</f>
        <v/>
      </c>
      <c r="K13" s="34">
        <f>MIN(10,FLOOR(60*service_hr/J13,1))</f>
        <v/>
      </c>
      <c r="L13" s="34">
        <f>ROUND(365*mech_uptime*H13,0)</f>
        <v/>
      </c>
      <c r="M13" s="35">
        <f>mech_uptime</f>
        <v/>
      </c>
      <c r="N13" s="35">
        <f>revleg_sel</f>
        <v/>
      </c>
      <c r="O13" s="34">
        <f>ROUND(K13*L13*revleg_sel,0)</f>
        <v/>
      </c>
      <c r="P13" s="36">
        <f>load_sel</f>
        <v/>
      </c>
      <c r="Q13" s="36">
        <f>pax_cap*P13</f>
        <v/>
      </c>
      <c r="R13" s="34">
        <f>Q13*O13</f>
        <v/>
      </c>
      <c r="S13" s="37">
        <f>E13*discount</f>
        <v/>
      </c>
      <c r="T13" s="38">
        <f>S13*R13</f>
        <v/>
      </c>
      <c r="U13" s="38">
        <f>(battery/range_nm)*D13*O13*VLOOKUP(B13,country_opex,3,FALSE)</f>
        <v/>
      </c>
      <c r="V13" s="38">
        <f>VLOOKUP(B13,country_opex,2,FALSE)*crew_factor</f>
        <v/>
      </c>
      <c r="W13" s="38">
        <f>VLOOKUP(B13,country_opex,5,FALSE)</f>
        <v/>
      </c>
      <c r="X13" s="38">
        <f>maint</f>
        <v/>
      </c>
      <c r="Y13" s="38">
        <f>VLOOKUP(B13,country_opex,7,FALSE)*ins_pct</f>
        <v/>
      </c>
      <c r="Z13" s="38">
        <f>charge_berth</f>
        <v/>
      </c>
      <c r="AA13" s="38">
        <f>U13+V13+W13+X13+Y13+Z13</f>
        <v/>
      </c>
      <c r="AB13" s="38">
        <f>VLOOKUP(B13,country_opex,7,FALSE)/dep_years</f>
        <v/>
      </c>
      <c r="AC13" s="38">
        <f>T13-AA13</f>
        <v/>
      </c>
      <c r="AD13" s="35">
        <f>IF(T13=0,"",AC13/T13)</f>
        <v/>
      </c>
      <c r="AE13" s="36">
        <f>IF(AC13&lt;=0,"",VLOOKUP(B13,country_opex,7,FALSE)/AC13)</f>
        <v/>
      </c>
      <c r="AF13" s="33">
        <f>((D13*O13/diesel_nmpg)*diesel_co2pg-(battery/range_nm)*D13*O13*VLOOKUP(B13,country_opex,4,FALSE))/1000</f>
        <v/>
      </c>
      <c r="AG13" s="31" t="n">
        <v>125000</v>
      </c>
      <c r="AH13" s="32" t="n"/>
      <c r="AI13" s="32" t="n"/>
      <c r="AJ13" s="39" t="n">
        <v>0.1</v>
      </c>
      <c r="AK13" s="34">
        <f>IF(AG13="","",AG13*AJ13)</f>
        <v/>
      </c>
      <c r="AL13" s="34">
        <f>IF(OR(AG13="",R13=0),"",MIN(IF(AS13="",9.9E+99,AS13),FLOOR(AK13/R13,1)))</f>
        <v/>
      </c>
      <c r="AM13" s="38">
        <f>IF(AL13="","",AL13*T13)</f>
        <v/>
      </c>
      <c r="AN13" s="36">
        <f>IF(OR(AG13="",R13=0),"",MIN(IF(AS13="",9.9E+99,AS13),AK13/R13))</f>
        <v/>
      </c>
      <c r="AO13" s="38">
        <f>IF(AN13="","",AN13*T13)</f>
        <v/>
      </c>
      <c r="AP13" s="40" t="n"/>
      <c r="AQ13" s="41" t="n"/>
      <c r="AR13" s="41" t="n"/>
      <c r="AS13" s="42" t="n"/>
      <c r="AT13" s="43">
        <f>IF(((S13*pax_cap*load_thin*ROUND(K13*L13*revleg_thin,0))-(((battery/range_nm)*D13*ROUND(K13*L13*revleg_thin,0)*VLOOKUP(B13,country_opex,3,FALSE))+V13+W13+X13+Y13+Z13))&lt;=0,"",VLOOKUP(B13,country_opex,7,FALSE)/((S13*pax_cap*load_thin*ROUND(K13*L13*revleg_thin,0))-(((battery/range_nm)*D13*ROUND(K13*L13*revleg_thin,0)*VLOOKUP(B13,country_opex,3,FALSE))+V13+W13+X13+Y13+Z13)))</f>
        <v/>
      </c>
      <c r="AU13" s="43">
        <f>IF(((S13*pax_cap*load_mid*ROUND(K13*L13*revleg_mid,0))-(((battery/range_nm)*D13*ROUND(K13*L13*revleg_mid,0)*VLOOKUP(B13,country_opex,3,FALSE))+V13+W13+X13+Y13+Z13))&lt;=0,"",VLOOKUP(B13,country_opex,7,FALSE)/((S13*pax_cap*load_mid*ROUND(K13*L13*revleg_mid,0))-(((battery/range_nm)*D13*ROUND(K13*L13*revleg_mid,0)*VLOOKUP(B13,country_opex,3,FALSE))+V13+W13+X13+Y13+Z13)))</f>
        <v/>
      </c>
      <c r="AV13" s="43">
        <f>IF(((S13*pax_cap*load_full*ROUND(K13*L13*revleg_full,0))-(((battery/range_nm)*D13*ROUND(K13*L13*revleg_full,0)*VLOOKUP(B13,country_opex,3,FALSE))+V13+W13+X13+Y13+Z13))&lt;=0,"",VLOOKUP(B13,country_opex,7,FALSE)/((S13*pax_cap*load_full*ROUND(K13*L13*revleg_full,0))-(((battery/range_nm)*D13*ROUND(K13*L13*revleg_full,0)*VLOOKUP(B13,country_opex,3,FALSE))+V13+W13+X13+Y13+Z13)))</f>
        <v/>
      </c>
      <c r="AW13" s="44" t="inlineStr">
        <is>
          <t>PREMIUM tier: TP Line/Krilo catamaran Dubrovnik-&gt;Polače peak adult ~EUR 20 (summer range to EUR 20). EUR 20 x 1.08 = $21.6.</t>
        </is>
      </c>
      <c r="AX13" s="44" t="n"/>
    </row>
    <row r="14">
      <c r="A14" s="29" t="inlineStr">
        <is>
          <t>Bolt Croatia</t>
        </is>
      </c>
      <c r="B14" s="29" t="inlineStr">
        <is>
          <t>Croatia</t>
        </is>
      </c>
      <c r="C14" s="30" t="inlineStr">
        <is>
          <t>Hvar (Hvar Town) → Korčula (Korčula Town)</t>
        </is>
      </c>
      <c r="D14" s="31" t="n">
        <v>30</v>
      </c>
      <c r="E14" s="26" t="n">
        <v>27</v>
      </c>
      <c r="F14" s="32" t="inlineStr">
        <is>
          <t>T2</t>
        </is>
      </c>
      <c r="G14" s="32" t="inlineStr">
        <is>
          <t>med</t>
        </is>
      </c>
      <c r="H14" s="19" t="n">
        <v>1</v>
      </c>
      <c r="I14" s="33">
        <f>60*D14/cruise_kt</f>
        <v/>
      </c>
      <c r="J14" s="33">
        <f>I14+turn_min+dwell_min</f>
        <v/>
      </c>
      <c r="K14" s="34">
        <f>MIN(10,FLOOR(60*service_hr/J14,1))</f>
        <v/>
      </c>
      <c r="L14" s="34">
        <f>ROUND(365*mech_uptime*H14,0)</f>
        <v/>
      </c>
      <c r="M14" s="35">
        <f>mech_uptime</f>
        <v/>
      </c>
      <c r="N14" s="35">
        <f>revleg_sel</f>
        <v/>
      </c>
      <c r="O14" s="34">
        <f>ROUND(K14*L14*revleg_sel,0)</f>
        <v/>
      </c>
      <c r="P14" s="36">
        <f>load_sel</f>
        <v/>
      </c>
      <c r="Q14" s="36">
        <f>pax_cap*P14</f>
        <v/>
      </c>
      <c r="R14" s="34">
        <f>Q14*O14</f>
        <v/>
      </c>
      <c r="S14" s="37">
        <f>E14*discount</f>
        <v/>
      </c>
      <c r="T14" s="38">
        <f>S14*R14</f>
        <v/>
      </c>
      <c r="U14" s="38">
        <f>(battery/range_nm)*D14*O14*VLOOKUP(B14,country_opex,3,FALSE)</f>
        <v/>
      </c>
      <c r="V14" s="38">
        <f>VLOOKUP(B14,country_opex,2,FALSE)*crew_factor</f>
        <v/>
      </c>
      <c r="W14" s="38">
        <f>VLOOKUP(B14,country_opex,5,FALSE)</f>
        <v/>
      </c>
      <c r="X14" s="38">
        <f>maint</f>
        <v/>
      </c>
      <c r="Y14" s="38">
        <f>VLOOKUP(B14,country_opex,7,FALSE)*ins_pct</f>
        <v/>
      </c>
      <c r="Z14" s="38">
        <f>charge_berth</f>
        <v/>
      </c>
      <c r="AA14" s="38">
        <f>U14+V14+W14+X14+Y14+Z14</f>
        <v/>
      </c>
      <c r="AB14" s="38">
        <f>VLOOKUP(B14,country_opex,7,FALSE)/dep_years</f>
        <v/>
      </c>
      <c r="AC14" s="38">
        <f>T14-AA14</f>
        <v/>
      </c>
      <c r="AD14" s="35">
        <f>IF(T14=0,"",AC14/T14)</f>
        <v/>
      </c>
      <c r="AE14" s="36">
        <f>IF(AC14&lt;=0,"",VLOOKUP(B14,country_opex,7,FALSE)/AC14)</f>
        <v/>
      </c>
      <c r="AF14" s="33">
        <f>((D14*O14/diesel_nmpg)*diesel_co2pg-(battery/range_nm)*D14*O14*VLOOKUP(B14,country_opex,4,FALSE))/1000</f>
        <v/>
      </c>
      <c r="AG14" s="31" t="n"/>
      <c r="AH14" s="32" t="n"/>
      <c r="AI14" s="32" t="n"/>
      <c r="AJ14" s="39" t="n">
        <v>0.1</v>
      </c>
      <c r="AK14" s="34">
        <f>IF(AG14="","",AG14*AJ14)</f>
        <v/>
      </c>
      <c r="AL14" s="34">
        <f>IF(OR(AG14="",R14=0),"",MIN(IF(AS14="",9.9E+99,AS14),FLOOR(AK14/R14,1)))</f>
        <v/>
      </c>
      <c r="AM14" s="38">
        <f>IF(AL14="","",AL14*T14)</f>
        <v/>
      </c>
      <c r="AN14" s="36">
        <f>IF(OR(AG14="",R14=0),"",MIN(IF(AS14="",9.9E+99,AS14),AK14/R14))</f>
        <v/>
      </c>
      <c r="AO14" s="38">
        <f>IF(AN14="","",AN14*T14)</f>
        <v/>
      </c>
      <c r="AP14" s="40" t="n"/>
      <c r="AQ14" s="41" t="n"/>
      <c r="AR14" s="41" t="n"/>
      <c r="AS14" s="42" t="n"/>
      <c r="AT14" s="43">
        <f>IF(((S14*pax_cap*load_thin*ROUND(K14*L14*revleg_thin,0))-(((battery/range_nm)*D14*ROUND(K14*L14*revleg_thin,0)*VLOOKUP(B14,country_opex,3,FALSE))+V14+W14+X14+Y14+Z14))&lt;=0,"",VLOOKUP(B14,country_opex,7,FALSE)/((S14*pax_cap*load_thin*ROUND(K14*L14*revleg_thin,0))-(((battery/range_nm)*D14*ROUND(K14*L14*revleg_thin,0)*VLOOKUP(B14,country_opex,3,FALSE))+V14+W14+X14+Y14+Z14)))</f>
        <v/>
      </c>
      <c r="AU14" s="43">
        <f>IF(((S14*pax_cap*load_mid*ROUND(K14*L14*revleg_mid,0))-(((battery/range_nm)*D14*ROUND(K14*L14*revleg_mid,0)*VLOOKUP(B14,country_opex,3,FALSE))+V14+W14+X14+Y14+Z14))&lt;=0,"",VLOOKUP(B14,country_opex,7,FALSE)/((S14*pax_cap*load_mid*ROUND(K14*L14*revleg_mid,0))-(((battery/range_nm)*D14*ROUND(K14*L14*revleg_mid,0)*VLOOKUP(B14,country_opex,3,FALSE))+V14+W14+X14+Y14+Z14)))</f>
        <v/>
      </c>
      <c r="AV14" s="43">
        <f>IF(((S14*pax_cap*load_full*ROUND(K14*L14*revleg_full,0))-(((battery/range_nm)*D14*ROUND(K14*L14*revleg_full,0)*VLOOKUP(B14,country_opex,3,FALSE))+V14+W14+X14+Y14+Z14))&lt;=0,"",VLOOKUP(B14,country_opex,7,FALSE)/((S14*pax_cap*load_full*ROUND(K14*L14*revleg_full,0))-(((battery/range_nm)*D14*ROUND(K14*L14*revleg_full,0)*VLOOKUP(B14,country_opex,3,FALSE))+V14+W14+X14+Y14+Z14)))</f>
        <v/>
      </c>
      <c r="AW14" s="44" t="inlineStr">
        <is>
          <t>PREMIUM tier: Krilo/Kapetan Luka &amp; TP Line catamaran Hvar-&gt;Korčula top foot fare ~EUR 25 (range EUR 5.84-25). EUR 25 x 1.08 = $27.0.</t>
        </is>
      </c>
      <c r="AX14" s="44" t="n"/>
    </row>
    <row r="15">
      <c r="A15" s="29" t="inlineStr">
        <is>
          <t>Bolt Croatia</t>
        </is>
      </c>
      <c r="B15" s="29" t="inlineStr">
        <is>
          <t>Croatia</t>
        </is>
      </c>
      <c r="C15" s="30" t="inlineStr">
        <is>
          <t>Split → Vis</t>
        </is>
      </c>
      <c r="D15" s="31" t="n">
        <v>31</v>
      </c>
      <c r="E15" s="26" t="n">
        <v>30.2</v>
      </c>
      <c r="F15" s="32" t="inlineStr">
        <is>
          <t>T2</t>
        </is>
      </c>
      <c r="G15" s="32" t="inlineStr">
        <is>
          <t>med</t>
        </is>
      </c>
      <c r="H15" s="19" t="n">
        <v>1</v>
      </c>
      <c r="I15" s="33">
        <f>60*D15/cruise_kt</f>
        <v/>
      </c>
      <c r="J15" s="33">
        <f>I15+turn_min+dwell_min</f>
        <v/>
      </c>
      <c r="K15" s="34">
        <f>MIN(10,FLOOR(60*service_hr/J15,1))</f>
        <v/>
      </c>
      <c r="L15" s="34">
        <f>ROUND(365*mech_uptime*H15,0)</f>
        <v/>
      </c>
      <c r="M15" s="35">
        <f>mech_uptime</f>
        <v/>
      </c>
      <c r="N15" s="35">
        <f>revleg_sel</f>
        <v/>
      </c>
      <c r="O15" s="34">
        <f>ROUND(K15*L15*revleg_sel,0)</f>
        <v/>
      </c>
      <c r="P15" s="36">
        <f>load_sel</f>
        <v/>
      </c>
      <c r="Q15" s="36">
        <f>pax_cap*P15</f>
        <v/>
      </c>
      <c r="R15" s="34">
        <f>Q15*O15</f>
        <v/>
      </c>
      <c r="S15" s="37">
        <f>E15*discount</f>
        <v/>
      </c>
      <c r="T15" s="38">
        <f>S15*R15</f>
        <v/>
      </c>
      <c r="U15" s="38">
        <f>(battery/range_nm)*D15*O15*VLOOKUP(B15,country_opex,3,FALSE)</f>
        <v/>
      </c>
      <c r="V15" s="38">
        <f>VLOOKUP(B15,country_opex,2,FALSE)*crew_factor</f>
        <v/>
      </c>
      <c r="W15" s="38">
        <f>VLOOKUP(B15,country_opex,5,FALSE)</f>
        <v/>
      </c>
      <c r="X15" s="38">
        <f>maint</f>
        <v/>
      </c>
      <c r="Y15" s="38">
        <f>VLOOKUP(B15,country_opex,7,FALSE)*ins_pct</f>
        <v/>
      </c>
      <c r="Z15" s="38">
        <f>charge_berth</f>
        <v/>
      </c>
      <c r="AA15" s="38">
        <f>U15+V15+W15+X15+Y15+Z15</f>
        <v/>
      </c>
      <c r="AB15" s="38">
        <f>VLOOKUP(B15,country_opex,7,FALSE)/dep_years</f>
        <v/>
      </c>
      <c r="AC15" s="38">
        <f>T15-AA15</f>
        <v/>
      </c>
      <c r="AD15" s="35">
        <f>IF(T15=0,"",AC15/T15)</f>
        <v/>
      </c>
      <c r="AE15" s="36">
        <f>IF(AC15&lt;=0,"",VLOOKUP(B15,country_opex,7,FALSE)/AC15)</f>
        <v/>
      </c>
      <c r="AF15" s="33">
        <f>((D15*O15/diesel_nmpg)*diesel_co2pg-(battery/range_nm)*D15*O15*VLOOKUP(B15,country_opex,4,FALSE))/1000</f>
        <v/>
      </c>
      <c r="AG15" s="31" t="n">
        <v>46000</v>
      </c>
      <c r="AH15" s="32" t="n"/>
      <c r="AI15" s="32" t="n"/>
      <c r="AJ15" s="39" t="n">
        <v>0.1</v>
      </c>
      <c r="AK15" s="34">
        <f>IF(AG15="","",AG15*AJ15)</f>
        <v/>
      </c>
      <c r="AL15" s="34">
        <f>IF(OR(AG15="",R15=0),"",MIN(IF(AS15="",9.9E+99,AS15),FLOOR(AK15/R15,1)))</f>
        <v/>
      </c>
      <c r="AM15" s="38">
        <f>IF(AL15="","",AL15*T15)</f>
        <v/>
      </c>
      <c r="AN15" s="36">
        <f>IF(OR(AG15="",R15=0),"",MIN(IF(AS15="",9.9E+99,AS15),AK15/R15))</f>
        <v/>
      </c>
      <c r="AO15" s="38">
        <f>IF(AN15="","",AN15*T15)</f>
        <v/>
      </c>
      <c r="AP15" s="40" t="n"/>
      <c r="AQ15" s="41" t="n"/>
      <c r="AR15" s="41" t="n"/>
      <c r="AS15" s="42" t="n"/>
      <c r="AT15" s="43">
        <f>IF(((S15*pax_cap*load_thin*ROUND(K15*L15*revleg_thin,0))-(((battery/range_nm)*D15*ROUND(K15*L15*revleg_thin,0)*VLOOKUP(B15,country_opex,3,FALSE))+V15+W15+X15+Y15+Z15))&lt;=0,"",VLOOKUP(B15,country_opex,7,FALSE)/((S15*pax_cap*load_thin*ROUND(K15*L15*revleg_thin,0))-(((battery/range_nm)*D15*ROUND(K15*L15*revleg_thin,0)*VLOOKUP(B15,country_opex,3,FALSE))+V15+W15+X15+Y15+Z15)))</f>
        <v/>
      </c>
      <c r="AU15" s="43">
        <f>IF(((S15*pax_cap*load_mid*ROUND(K15*L15*revleg_mid,0))-(((battery/range_nm)*D15*ROUND(K15*L15*revleg_mid,0)*VLOOKUP(B15,country_opex,3,FALSE))+V15+W15+X15+Y15+Z15))&lt;=0,"",VLOOKUP(B15,country_opex,7,FALSE)/((S15*pax_cap*load_mid*ROUND(K15*L15*revleg_mid,0))-(((battery/range_nm)*D15*ROUND(K15*L15*revleg_mid,0)*VLOOKUP(B15,country_opex,3,FALSE))+V15+W15+X15+Y15+Z15)))</f>
        <v/>
      </c>
      <c r="AV15" s="43">
        <f>IF(((S15*pax_cap*load_full*ROUND(K15*L15*revleg_full,0))-(((battery/range_nm)*D15*ROUND(K15*L15*revleg_full,0)*VLOOKUP(B15,country_opex,3,FALSE))+V15+W15+X15+Y15+Z15))&lt;=0,"",VLOOKUP(B15,country_opex,7,FALSE)/((S15*pax_cap*load_full*ROUND(K15*L15*revleg_full,0))-(((battery/range_nm)*D15*ROUND(K15*L15*revleg_full,0)*VLOOKUP(B15,country_opex,3,FALSE))+V15+W15+X15+Y15+Z15)))</f>
        <v/>
      </c>
      <c r="AW15" s="44" t="inlineStr">
        <is>
          <t>PREMIUM tier: Kapetan Luka 'Krilo'/Jadrolinija fast catamaran Split-&gt;Vis, top foot fare ~EUR 28 (range EUR 6.50-28). EUR 28 x 1.08 = $30.2.</t>
        </is>
      </c>
      <c r="AX15" s="44" t="n"/>
    </row>
    <row r="16">
      <c r="A16" s="29" t="inlineStr">
        <is>
          <t>Bolt Croatia</t>
        </is>
      </c>
      <c r="B16" s="29" t="inlineStr">
        <is>
          <t>Croatia</t>
        </is>
      </c>
      <c r="C16" s="30" t="inlineStr">
        <is>
          <t>Split → Korčula (Korčula Town)</t>
        </is>
      </c>
      <c r="D16" s="31" t="n">
        <v>40</v>
      </c>
      <c r="E16" s="26" t="n">
        <v>32.4</v>
      </c>
      <c r="F16" s="32" t="inlineStr">
        <is>
          <t>T2</t>
        </is>
      </c>
      <c r="G16" s="32" t="inlineStr">
        <is>
          <t>med</t>
        </is>
      </c>
      <c r="H16" s="19" t="n">
        <v>1</v>
      </c>
      <c r="I16" s="33">
        <f>60*D16/cruise_kt</f>
        <v/>
      </c>
      <c r="J16" s="33">
        <f>I16+turn_min+dwell_min</f>
        <v/>
      </c>
      <c r="K16" s="34">
        <f>MIN(10,FLOOR(60*service_hr/J16,1))</f>
        <v/>
      </c>
      <c r="L16" s="34">
        <f>ROUND(365*mech_uptime*H16,0)</f>
        <v/>
      </c>
      <c r="M16" s="35">
        <f>mech_uptime</f>
        <v/>
      </c>
      <c r="N16" s="35">
        <f>revleg_sel</f>
        <v/>
      </c>
      <c r="O16" s="34">
        <f>ROUND(K16*L16*revleg_sel,0)</f>
        <v/>
      </c>
      <c r="P16" s="36">
        <f>load_sel</f>
        <v/>
      </c>
      <c r="Q16" s="36">
        <f>pax_cap*P16</f>
        <v/>
      </c>
      <c r="R16" s="34">
        <f>Q16*O16</f>
        <v/>
      </c>
      <c r="S16" s="37">
        <f>E16*discount</f>
        <v/>
      </c>
      <c r="T16" s="38">
        <f>S16*R16</f>
        <v/>
      </c>
      <c r="U16" s="38">
        <f>(battery/range_nm)*D16*O16*VLOOKUP(B16,country_opex,3,FALSE)</f>
        <v/>
      </c>
      <c r="V16" s="38">
        <f>VLOOKUP(B16,country_opex,2,FALSE)*crew_factor</f>
        <v/>
      </c>
      <c r="W16" s="38">
        <f>VLOOKUP(B16,country_opex,5,FALSE)</f>
        <v/>
      </c>
      <c r="X16" s="38">
        <f>maint</f>
        <v/>
      </c>
      <c r="Y16" s="38">
        <f>VLOOKUP(B16,country_opex,7,FALSE)*ins_pct</f>
        <v/>
      </c>
      <c r="Z16" s="38">
        <f>charge_berth</f>
        <v/>
      </c>
      <c r="AA16" s="38">
        <f>U16+V16+W16+X16+Y16+Z16</f>
        <v/>
      </c>
      <c r="AB16" s="38">
        <f>VLOOKUP(B16,country_opex,7,FALSE)/dep_years</f>
        <v/>
      </c>
      <c r="AC16" s="38">
        <f>T16-AA16</f>
        <v/>
      </c>
      <c r="AD16" s="35">
        <f>IF(T16=0,"",AC16/T16)</f>
        <v/>
      </c>
      <c r="AE16" s="36">
        <f>IF(AC16&lt;=0,"",VLOOKUP(B16,country_opex,7,FALSE)/AC16)</f>
        <v/>
      </c>
      <c r="AF16" s="33">
        <f>((D16*O16/diesel_nmpg)*diesel_co2pg-(battery/range_nm)*D16*O16*VLOOKUP(B16,country_opex,4,FALSE))/1000</f>
        <v/>
      </c>
      <c r="AG16" s="31" t="n">
        <v>183000</v>
      </c>
      <c r="AH16" s="32" t="n"/>
      <c r="AI16" s="32" t="n"/>
      <c r="AJ16" s="39" t="n">
        <v>0.1</v>
      </c>
      <c r="AK16" s="34">
        <f>IF(AG16="","",AG16*AJ16)</f>
        <v/>
      </c>
      <c r="AL16" s="34">
        <f>IF(OR(AG16="",R16=0),"",MIN(IF(AS16="",9.9E+99,AS16),FLOOR(AK16/R16,1)))</f>
        <v/>
      </c>
      <c r="AM16" s="38">
        <f>IF(AL16="","",AL16*T16)</f>
        <v/>
      </c>
      <c r="AN16" s="36">
        <f>IF(OR(AG16="",R16=0),"",MIN(IF(AS16="",9.9E+99,AS16),AK16/R16))</f>
        <v/>
      </c>
      <c r="AO16" s="38">
        <f>IF(AN16="","",AN16*T16)</f>
        <v/>
      </c>
      <c r="AP16" s="40" t="n"/>
      <c r="AQ16" s="41" t="n"/>
      <c r="AR16" s="41" t="n"/>
      <c r="AS16" s="42" t="n"/>
      <c r="AT16" s="43">
        <f>IF(((S16*pax_cap*load_thin*ROUND(K16*L16*revleg_thin,0))-(((battery/range_nm)*D16*ROUND(K16*L16*revleg_thin,0)*VLOOKUP(B16,country_opex,3,FALSE))+V16+W16+X16+Y16+Z16))&lt;=0,"",VLOOKUP(B16,country_opex,7,FALSE)/((S16*pax_cap*load_thin*ROUND(K16*L16*revleg_thin,0))-(((battery/range_nm)*D16*ROUND(K16*L16*revleg_thin,0)*VLOOKUP(B16,country_opex,3,FALSE))+V16+W16+X16+Y16+Z16)))</f>
        <v/>
      </c>
      <c r="AU16" s="43">
        <f>IF(((S16*pax_cap*load_mid*ROUND(K16*L16*revleg_mid,0))-(((battery/range_nm)*D16*ROUND(K16*L16*revleg_mid,0)*VLOOKUP(B16,country_opex,3,FALSE))+V16+W16+X16+Y16+Z16))&lt;=0,"",VLOOKUP(B16,country_opex,7,FALSE)/((S16*pax_cap*load_mid*ROUND(K16*L16*revleg_mid,0))-(((battery/range_nm)*D16*ROUND(K16*L16*revleg_mid,0)*VLOOKUP(B16,country_opex,3,FALSE))+V16+W16+X16+Y16+Z16)))</f>
        <v/>
      </c>
      <c r="AV16" s="43">
        <f>IF(((S16*pax_cap*load_full*ROUND(K16*L16*revleg_full,0))-(((battery/range_nm)*D16*ROUND(K16*L16*revleg_full,0)*VLOOKUP(B16,country_opex,3,FALSE))+V16+W16+X16+Y16+Z16))&lt;=0,"",VLOOKUP(B16,country_opex,7,FALSE)/((S16*pax_cap*load_full*ROUND(K16*L16*revleg_full,0))-(((battery/range_nm)*D16*ROUND(K16*L16*revleg_full,0)*VLOOKUP(B16,country_opex,3,FALSE))+V16+W16+X16+Y16+Z16)))</f>
        <v/>
      </c>
      <c r="AW16" s="44" t="inlineStr">
        <is>
          <t>PREMIUM tier: high-season fast catamaran Split-&gt;Korčula adult up to EUR 30 (Krilo/TP Line). EUR 30 x 1.08 = $32.4.</t>
        </is>
      </c>
      <c r="AX16" s="44" t="n"/>
    </row>
    <row r="17">
      <c r="A17" s="29" t="inlineStr">
        <is>
          <t>Bolt Croatia</t>
        </is>
      </c>
      <c r="B17" s="29" t="inlineStr">
        <is>
          <t>Croatia</t>
        </is>
      </c>
      <c r="C17" s="30" t="inlineStr">
        <is>
          <t>Dubrovnik → Kotor (Montenegro)</t>
        </is>
      </c>
      <c r="D17" s="31" t="n">
        <v>40</v>
      </c>
      <c r="E17" s="26" t="n"/>
      <c r="F17" s="32" t="n"/>
      <c r="G17" s="32" t="n"/>
      <c r="H17" s="19" t="n">
        <v>1</v>
      </c>
      <c r="I17" s="33">
        <f>60*D17/cruise_kt</f>
        <v/>
      </c>
      <c r="J17" s="33">
        <f>I17+turn_min+dwell_min</f>
        <v/>
      </c>
      <c r="K17" s="34">
        <f>MIN(10,FLOOR(60*service_hr/J17,1))</f>
        <v/>
      </c>
      <c r="L17" s="34">
        <f>ROUND(365*mech_uptime*H17,0)</f>
        <v/>
      </c>
      <c r="M17" s="35">
        <f>mech_uptime</f>
        <v/>
      </c>
      <c r="N17" s="35">
        <f>revleg_sel</f>
        <v/>
      </c>
      <c r="O17" s="34">
        <f>ROUND(K17*L17*revleg_sel,0)</f>
        <v/>
      </c>
      <c r="P17" s="36">
        <f>load_sel</f>
        <v/>
      </c>
      <c r="Q17" s="36">
        <f>pax_cap*P17</f>
        <v/>
      </c>
      <c r="R17" s="34">
        <f>Q17*O17</f>
        <v/>
      </c>
      <c r="S17" s="37">
        <f>E17*discount</f>
        <v/>
      </c>
      <c r="T17" s="38">
        <f>S17*R17</f>
        <v/>
      </c>
      <c r="U17" s="38">
        <f>(battery/range_nm)*D17*O17*VLOOKUP(B17,country_opex,3,FALSE)</f>
        <v/>
      </c>
      <c r="V17" s="38">
        <f>VLOOKUP(B17,country_opex,2,FALSE)*crew_factor</f>
        <v/>
      </c>
      <c r="W17" s="38">
        <f>VLOOKUP(B17,country_opex,5,FALSE)</f>
        <v/>
      </c>
      <c r="X17" s="38">
        <f>maint</f>
        <v/>
      </c>
      <c r="Y17" s="38">
        <f>VLOOKUP(B17,country_opex,7,FALSE)*ins_pct</f>
        <v/>
      </c>
      <c r="Z17" s="38">
        <f>charge_berth</f>
        <v/>
      </c>
      <c r="AA17" s="38">
        <f>U17+V17+W17+X17+Y17+Z17</f>
        <v/>
      </c>
      <c r="AB17" s="38">
        <f>VLOOKUP(B17,country_opex,7,FALSE)/dep_years</f>
        <v/>
      </c>
      <c r="AC17" s="38">
        <f>T17-AA17</f>
        <v/>
      </c>
      <c r="AD17" s="35">
        <f>IF(T17=0,"",AC17/T17)</f>
        <v/>
      </c>
      <c r="AE17" s="36">
        <f>IF(AC17&lt;=0,"",VLOOKUP(B17,country_opex,7,FALSE)/AC17)</f>
        <v/>
      </c>
      <c r="AF17" s="33">
        <f>((D17*O17/diesel_nmpg)*diesel_co2pg-(battery/range_nm)*D17*O17*VLOOKUP(B17,country_opex,4,FALSE))/1000</f>
        <v/>
      </c>
      <c r="AG17" s="31" t="n"/>
      <c r="AH17" s="32" t="n"/>
      <c r="AI17" s="32" t="n"/>
      <c r="AJ17" s="39" t="n">
        <v>0.1</v>
      </c>
      <c r="AK17" s="34">
        <f>IF(AG17="","",AG17*AJ17)</f>
        <v/>
      </c>
      <c r="AL17" s="34">
        <f>IF(OR(AG17="",R17=0),"",MIN(IF(AS17="",9.9E+99,AS17),FLOOR(AK17/R17,1)))</f>
        <v/>
      </c>
      <c r="AM17" s="38">
        <f>IF(AL17="","",AL17*T17)</f>
        <v/>
      </c>
      <c r="AN17" s="36">
        <f>IF(OR(AG17="",R17=0),"",MIN(IF(AS17="",9.9E+99,AS17),AK17/R17))</f>
        <v/>
      </c>
      <c r="AO17" s="38">
        <f>IF(AN17="","",AN17*T17)</f>
        <v/>
      </c>
      <c r="AP17" s="40" t="n"/>
      <c r="AQ17" s="41" t="n"/>
      <c r="AR17" s="41" t="n"/>
      <c r="AS17" s="42" t="n"/>
      <c r="AT17" s="43">
        <f>IF(((S17*pax_cap*load_thin*ROUND(K17*L17*revleg_thin,0))-(((battery/range_nm)*D17*ROUND(K17*L17*revleg_thin,0)*VLOOKUP(B17,country_opex,3,FALSE))+V17+W17+X17+Y17+Z17))&lt;=0,"",VLOOKUP(B17,country_opex,7,FALSE)/((S17*pax_cap*load_thin*ROUND(K17*L17*revleg_thin,0))-(((battery/range_nm)*D17*ROUND(K17*L17*revleg_thin,0)*VLOOKUP(B17,country_opex,3,FALSE))+V17+W17+X17+Y17+Z17)))</f>
        <v/>
      </c>
      <c r="AU17" s="43">
        <f>IF(((S17*pax_cap*load_mid*ROUND(K17*L17*revleg_mid,0))-(((battery/range_nm)*D17*ROUND(K17*L17*revleg_mid,0)*VLOOKUP(B17,country_opex,3,FALSE))+V17+W17+X17+Y17+Z17))&lt;=0,"",VLOOKUP(B17,country_opex,7,FALSE)/((S17*pax_cap*load_mid*ROUND(K17*L17*revleg_mid,0))-(((battery/range_nm)*D17*ROUND(K17*L17*revleg_mid,0)*VLOOKUP(B17,country_opex,3,FALSE))+V17+W17+X17+Y17+Z17)))</f>
        <v/>
      </c>
      <c r="AV17" s="43">
        <f>IF(((S17*pax_cap*load_full*ROUND(K17*L17*revleg_full,0))-(((battery/range_nm)*D17*ROUND(K17*L17*revleg_full,0)*VLOOKUP(B17,country_opex,3,FALSE))+V17+W17+X17+Y17+Z17))&lt;=0,"",VLOOKUP(B17,country_opex,7,FALSE)/((S17*pax_cap*load_full*ROUND(K17*L17*revleg_full,0))-(((battery/range_nm)*D17*ROUND(K17*L17*revleg_full,0)*VLOOKUP(B17,country_opex,3,FALSE))+V17+W17+X17+Y17+Z17)))</f>
        <v/>
      </c>
      <c r="AW17" s="44" t="n"/>
      <c r="AX17" s="44" t="n"/>
    </row>
    <row r="18">
      <c r="A18" s="29" t="inlineStr">
        <is>
          <t>Bolt Croatia</t>
        </is>
      </c>
      <c r="B18" s="29" t="inlineStr">
        <is>
          <t>Croatia</t>
        </is>
      </c>
      <c r="C18" s="30" t="inlineStr">
        <is>
          <t>Dubrovnik → Korčula (Korčula Town)</t>
        </is>
      </c>
      <c r="D18" s="31" t="n">
        <v>47</v>
      </c>
      <c r="E18" s="26" t="n">
        <v>32.4</v>
      </c>
      <c r="F18" s="32" t="inlineStr">
        <is>
          <t>T2</t>
        </is>
      </c>
      <c r="G18" s="32" t="inlineStr">
        <is>
          <t>med</t>
        </is>
      </c>
      <c r="H18" s="19" t="n">
        <v>1</v>
      </c>
      <c r="I18" s="33">
        <f>60*D18/cruise_kt</f>
        <v/>
      </c>
      <c r="J18" s="33">
        <f>I18+turn_min+dwell_min</f>
        <v/>
      </c>
      <c r="K18" s="34">
        <f>MIN(10,FLOOR(60*service_hr/J18,1))</f>
        <v/>
      </c>
      <c r="L18" s="34">
        <f>ROUND(365*mech_uptime*H18,0)</f>
        <v/>
      </c>
      <c r="M18" s="35">
        <f>mech_uptime</f>
        <v/>
      </c>
      <c r="N18" s="35">
        <f>revleg_sel</f>
        <v/>
      </c>
      <c r="O18" s="34">
        <f>ROUND(K18*L18*revleg_sel,0)</f>
        <v/>
      </c>
      <c r="P18" s="36">
        <f>load_sel</f>
        <v/>
      </c>
      <c r="Q18" s="36">
        <f>pax_cap*P18</f>
        <v/>
      </c>
      <c r="R18" s="34">
        <f>Q18*O18</f>
        <v/>
      </c>
      <c r="S18" s="37">
        <f>E18*discount</f>
        <v/>
      </c>
      <c r="T18" s="38">
        <f>S18*R18</f>
        <v/>
      </c>
      <c r="U18" s="38">
        <f>(battery/range_nm)*D18*O18*VLOOKUP(B18,country_opex,3,FALSE)</f>
        <v/>
      </c>
      <c r="V18" s="38">
        <f>VLOOKUP(B18,country_opex,2,FALSE)*crew_factor</f>
        <v/>
      </c>
      <c r="W18" s="38">
        <f>VLOOKUP(B18,country_opex,5,FALSE)</f>
        <v/>
      </c>
      <c r="X18" s="38">
        <f>maint</f>
        <v/>
      </c>
      <c r="Y18" s="38">
        <f>VLOOKUP(B18,country_opex,7,FALSE)*ins_pct</f>
        <v/>
      </c>
      <c r="Z18" s="38">
        <f>charge_berth</f>
        <v/>
      </c>
      <c r="AA18" s="38">
        <f>U18+V18+W18+X18+Y18+Z18</f>
        <v/>
      </c>
      <c r="AB18" s="38">
        <f>VLOOKUP(B18,country_opex,7,FALSE)/dep_years</f>
        <v/>
      </c>
      <c r="AC18" s="38">
        <f>T18-AA18</f>
        <v/>
      </c>
      <c r="AD18" s="35">
        <f>IF(T18=0,"",AC18/T18)</f>
        <v/>
      </c>
      <c r="AE18" s="36">
        <f>IF(AC18&lt;=0,"",VLOOKUP(B18,country_opex,7,FALSE)/AC18)</f>
        <v/>
      </c>
      <c r="AF18" s="33">
        <f>((D18*O18/diesel_nmpg)*diesel_co2pg-(battery/range_nm)*D18*O18*VLOOKUP(B18,country_opex,4,FALSE))/1000</f>
        <v/>
      </c>
      <c r="AG18" s="31" t="n"/>
      <c r="AH18" s="32" t="n"/>
      <c r="AI18" s="32" t="n"/>
      <c r="AJ18" s="39" t="n">
        <v>0.1</v>
      </c>
      <c r="AK18" s="34">
        <f>IF(AG18="","",AG18*AJ18)</f>
        <v/>
      </c>
      <c r="AL18" s="34">
        <f>IF(OR(AG18="",R18=0),"",MIN(IF(AS18="",9.9E+99,AS18),FLOOR(AK18/R18,1)))</f>
        <v/>
      </c>
      <c r="AM18" s="38">
        <f>IF(AL18="","",AL18*T18)</f>
        <v/>
      </c>
      <c r="AN18" s="36">
        <f>IF(OR(AG18="",R18=0),"",MIN(IF(AS18="",9.9E+99,AS18),AK18/R18))</f>
        <v/>
      </c>
      <c r="AO18" s="38">
        <f>IF(AN18="","",AN18*T18)</f>
        <v/>
      </c>
      <c r="AP18" s="40" t="n"/>
      <c r="AQ18" s="41" t="n"/>
      <c r="AR18" s="41" t="n"/>
      <c r="AS18" s="42" t="n"/>
      <c r="AT18" s="43">
        <f>IF(((S18*pax_cap*load_thin*ROUND(K18*L18*revleg_thin,0))-(((battery/range_nm)*D18*ROUND(K18*L18*revleg_thin,0)*VLOOKUP(B18,country_opex,3,FALSE))+V18+W18+X18+Y18+Z18))&lt;=0,"",VLOOKUP(B18,country_opex,7,FALSE)/((S18*pax_cap*load_thin*ROUND(K18*L18*revleg_thin,0))-(((battery/range_nm)*D18*ROUND(K18*L18*revleg_thin,0)*VLOOKUP(B18,country_opex,3,FALSE))+V18+W18+X18+Y18+Z18)))</f>
        <v/>
      </c>
      <c r="AU18" s="43">
        <f>IF(((S18*pax_cap*load_mid*ROUND(K18*L18*revleg_mid,0))-(((battery/range_nm)*D18*ROUND(K18*L18*revleg_mid,0)*VLOOKUP(B18,country_opex,3,FALSE))+V18+W18+X18+Y18+Z18))&lt;=0,"",VLOOKUP(B18,country_opex,7,FALSE)/((S18*pax_cap*load_mid*ROUND(K18*L18*revleg_mid,0))-(((battery/range_nm)*D18*ROUND(K18*L18*revleg_mid,0)*VLOOKUP(B18,country_opex,3,FALSE))+V18+W18+X18+Y18+Z18)))</f>
        <v/>
      </c>
      <c r="AV18" s="43">
        <f>IF(((S18*pax_cap*load_full*ROUND(K18*L18*revleg_full,0))-(((battery/range_nm)*D18*ROUND(K18*L18*revleg_full,0)*VLOOKUP(B18,country_opex,3,FALSE))+V18+W18+X18+Y18+Z18))&lt;=0,"",VLOOKUP(B18,country_opex,7,FALSE)/((S18*pax_cap*load_full*ROUND(K18*L18*revleg_full,0))-(((battery/range_nm)*D18*ROUND(K18*L18*revleg_full,0)*VLOOKUP(B18,country_opex,3,FALSE))+V18+W18+X18+Y18+Z18)))</f>
        <v/>
      </c>
      <c r="AW18" s="44" t="inlineStr">
        <is>
          <t>PREMIUM tier: high-season catamaran Dubrovnik-&gt;Korčula adult up to EUR 30 (TP Line/Krilo). EUR 30 x 1.08 = $32.4.</t>
        </is>
      </c>
      <c r="AX18" s="44" t="n"/>
    </row>
    <row r="19">
      <c r="A19" s="29" t="inlineStr">
        <is>
          <t>Bolt Cyprus</t>
        </is>
      </c>
      <c r="B19" s="29" t="inlineStr">
        <is>
          <t>Cyprus</t>
        </is>
      </c>
      <c r="C19" s="30" t="inlineStr">
        <is>
          <t>Ayia Napa → Protaras</t>
        </is>
      </c>
      <c r="D19" s="31" t="n">
        <v>7</v>
      </c>
      <c r="E19" s="26" t="n">
        <v>32</v>
      </c>
      <c r="F19" s="32" t="inlineStr">
        <is>
          <t>T2</t>
        </is>
      </c>
      <c r="G19" s="32" t="inlineStr">
        <is>
          <t>med</t>
        </is>
      </c>
      <c r="H19" s="19" t="n">
        <v>1</v>
      </c>
      <c r="I19" s="33">
        <f>60*D19/cruise_kt</f>
        <v/>
      </c>
      <c r="J19" s="33">
        <f>I19+turn_min+dwell_min</f>
        <v/>
      </c>
      <c r="K19" s="34">
        <f>MIN(16,FLOOR(60*service_hr/J19,1))</f>
        <v/>
      </c>
      <c r="L19" s="34">
        <f>ROUND(365*mech_uptime*H19,0)</f>
        <v/>
      </c>
      <c r="M19" s="35">
        <f>mech_uptime</f>
        <v/>
      </c>
      <c r="N19" s="35">
        <f>revleg_sel</f>
        <v/>
      </c>
      <c r="O19" s="34">
        <f>ROUND(K19*L19*revleg_sel,0)</f>
        <v/>
      </c>
      <c r="P19" s="36">
        <f>load_sel</f>
        <v/>
      </c>
      <c r="Q19" s="36">
        <f>pax_cap*P19</f>
        <v/>
      </c>
      <c r="R19" s="34">
        <f>Q19*O19</f>
        <v/>
      </c>
      <c r="S19" s="37">
        <f>E19*discount</f>
        <v/>
      </c>
      <c r="T19" s="38">
        <f>S19*R19</f>
        <v/>
      </c>
      <c r="U19" s="38">
        <f>(battery/range_nm)*D19*O19*VLOOKUP(B19,country_opex,3,FALSE)</f>
        <v/>
      </c>
      <c r="V19" s="38">
        <f>VLOOKUP(B19,country_opex,2,FALSE)*crew_factor</f>
        <v/>
      </c>
      <c r="W19" s="38">
        <f>VLOOKUP(B19,country_opex,5,FALSE)</f>
        <v/>
      </c>
      <c r="X19" s="38">
        <f>maint</f>
        <v/>
      </c>
      <c r="Y19" s="38">
        <f>VLOOKUP(B19,country_opex,7,FALSE)*ins_pct</f>
        <v/>
      </c>
      <c r="Z19" s="38">
        <f>charge_berth</f>
        <v/>
      </c>
      <c r="AA19" s="38">
        <f>U19+V19+W19+X19+Y19+Z19</f>
        <v/>
      </c>
      <c r="AB19" s="38">
        <f>VLOOKUP(B19,country_opex,7,FALSE)/dep_years</f>
        <v/>
      </c>
      <c r="AC19" s="38">
        <f>T19-AA19</f>
        <v/>
      </c>
      <c r="AD19" s="35">
        <f>IF(T19=0,"",AC19/T19)</f>
        <v/>
      </c>
      <c r="AE19" s="36">
        <f>IF(AC19&lt;=0,"",VLOOKUP(B19,country_opex,7,FALSE)/AC19)</f>
        <v/>
      </c>
      <c r="AF19" s="33">
        <f>((D19*O19/diesel_nmpg)*diesel_co2pg-(battery/range_nm)*D19*O19*VLOOKUP(B19,country_opex,4,FALSE))/1000</f>
        <v/>
      </c>
      <c r="AG19" s="31" t="n"/>
      <c r="AH19" s="32" t="n"/>
      <c r="AI19" s="32" t="n"/>
      <c r="AJ19" s="39" t="n">
        <v>0.1</v>
      </c>
      <c r="AK19" s="34">
        <f>IF(AG19="","",AG19*AJ19)</f>
        <v/>
      </c>
      <c r="AL19" s="34">
        <f>IF(OR(AG19="",R19=0),"",MIN(IF(AS19="",9.9E+99,AS19),FLOOR(AK19/R19,1)))</f>
        <v/>
      </c>
      <c r="AM19" s="38">
        <f>IF(AL19="","",AL19*T19)</f>
        <v/>
      </c>
      <c r="AN19" s="36">
        <f>IF(OR(AG19="",R19=0),"",MIN(IF(AS19="",9.9E+99,AS19),AK19/R19))</f>
        <v/>
      </c>
      <c r="AO19" s="38">
        <f>IF(AN19="","",AN19*T19)</f>
        <v/>
      </c>
      <c r="AP19" s="40" t="n"/>
      <c r="AQ19" s="41" t="n"/>
      <c r="AR19" s="41" t="n"/>
      <c r="AS19" s="42" t="n"/>
      <c r="AT19" s="43">
        <f>IF(((S19*pax_cap*load_thin*ROUND(K19*L19*revleg_thin,0))-(((battery/range_nm)*D19*ROUND(K19*L19*revleg_thin,0)*VLOOKUP(B19,country_opex,3,FALSE))+V19+W19+X19+Y19+Z19))&lt;=0,"",VLOOKUP(B19,country_opex,7,FALSE)/((S19*pax_cap*load_thin*ROUND(K19*L19*revleg_thin,0))-(((battery/range_nm)*D19*ROUND(K19*L19*revleg_thin,0)*VLOOKUP(B19,country_opex,3,FALSE))+V19+W19+X19+Y19+Z19)))</f>
        <v/>
      </c>
      <c r="AU19" s="43">
        <f>IF(((S19*pax_cap*load_mid*ROUND(K19*L19*revleg_mid,0))-(((battery/range_nm)*D19*ROUND(K19*L19*revleg_mid,0)*VLOOKUP(B19,country_opex,3,FALSE))+V19+W19+X19+Y19+Z19))&lt;=0,"",VLOOKUP(B19,country_opex,7,FALSE)/((S19*pax_cap*load_mid*ROUND(K19*L19*revleg_mid,0))-(((battery/range_nm)*D19*ROUND(K19*L19*revleg_mid,0)*VLOOKUP(B19,country_opex,3,FALSE))+V19+W19+X19+Y19+Z19)))</f>
        <v/>
      </c>
      <c r="AV19" s="43">
        <f>IF(((S19*pax_cap*load_full*ROUND(K19*L19*revleg_full,0))-(((battery/range_nm)*D19*ROUND(K19*L19*revleg_full,0)*VLOOKUP(B19,country_opex,3,FALSE))+V19+W19+X19+Y19+Z19))&lt;=0,"",VLOOKUP(B19,country_opex,7,FALSE)/((S19*pax_cap*load_full*ROUND(K19*L19*revleg_full,0))-(((battery/range_nm)*D19*ROUND(K19*L19*revleg_full,0)*VLOOKUP(B19,country_opex,3,FALSE))+V19+W19+X19+Y19+Z19)))</f>
        <v/>
      </c>
      <c r="AW19" s="44" t="inlineStr">
        <is>
          <t>PREMIUM tier (sea analogue) = scheduled Ayia Napa/Protaras Cape Greco cruise per-seat ~EUR 30/pax (~$32); semi-private EUR 99/pax (MedCruises) as charter context.</t>
        </is>
      </c>
      <c r="AX19" s="44" t="n"/>
    </row>
    <row r="20">
      <c r="A20" s="29" t="inlineStr">
        <is>
          <t>Bolt Cyprus</t>
        </is>
      </c>
      <c r="B20" s="29" t="inlineStr">
        <is>
          <t>Cyprus</t>
        </is>
      </c>
      <c r="C20" s="30" t="inlineStr">
        <is>
          <t>Paphos Airport (PFO) → Paphos resorts (Coral Bay)</t>
        </is>
      </c>
      <c r="D20" s="31" t="n">
        <v>12</v>
      </c>
      <c r="E20" s="26" t="n">
        <v>32</v>
      </c>
      <c r="F20" s="32" t="inlineStr">
        <is>
          <t>T2</t>
        </is>
      </c>
      <c r="G20" s="32" t="inlineStr">
        <is>
          <t>med</t>
        </is>
      </c>
      <c r="H20" s="19" t="n">
        <v>1</v>
      </c>
      <c r="I20" s="33">
        <f>60*D20/cruise_kt</f>
        <v/>
      </c>
      <c r="J20" s="33">
        <f>I20+turn_min+dwell_min</f>
        <v/>
      </c>
      <c r="K20" s="34">
        <f>MIN(10,FLOOR(60*service_hr/J20,1))</f>
        <v/>
      </c>
      <c r="L20" s="34">
        <f>ROUND(365*mech_uptime*H20,0)</f>
        <v/>
      </c>
      <c r="M20" s="35">
        <f>mech_uptime</f>
        <v/>
      </c>
      <c r="N20" s="35">
        <f>revleg_sel</f>
        <v/>
      </c>
      <c r="O20" s="34">
        <f>ROUND(K20*L20*revleg_sel,0)</f>
        <v/>
      </c>
      <c r="P20" s="36">
        <f>load_sel</f>
        <v/>
      </c>
      <c r="Q20" s="36">
        <f>pax_cap*P20</f>
        <v/>
      </c>
      <c r="R20" s="34">
        <f>Q20*O20</f>
        <v/>
      </c>
      <c r="S20" s="37">
        <f>E20*discount</f>
        <v/>
      </c>
      <c r="T20" s="38">
        <f>S20*R20</f>
        <v/>
      </c>
      <c r="U20" s="38">
        <f>(battery/range_nm)*D20*O20*VLOOKUP(B20,country_opex,3,FALSE)</f>
        <v/>
      </c>
      <c r="V20" s="38">
        <f>VLOOKUP(B20,country_opex,2,FALSE)*crew_factor</f>
        <v/>
      </c>
      <c r="W20" s="38">
        <f>VLOOKUP(B20,country_opex,5,FALSE)</f>
        <v/>
      </c>
      <c r="X20" s="38">
        <f>maint</f>
        <v/>
      </c>
      <c r="Y20" s="38">
        <f>VLOOKUP(B20,country_opex,7,FALSE)*ins_pct</f>
        <v/>
      </c>
      <c r="Z20" s="38">
        <f>charge_berth</f>
        <v/>
      </c>
      <c r="AA20" s="38">
        <f>U20+V20+W20+X20+Y20+Z20</f>
        <v/>
      </c>
      <c r="AB20" s="38">
        <f>VLOOKUP(B20,country_opex,7,FALSE)/dep_years</f>
        <v/>
      </c>
      <c r="AC20" s="38">
        <f>T20-AA20</f>
        <v/>
      </c>
      <c r="AD20" s="35">
        <f>IF(T20=0,"",AC20/T20)</f>
        <v/>
      </c>
      <c r="AE20" s="36">
        <f>IF(AC20&lt;=0,"",VLOOKUP(B20,country_opex,7,FALSE)/AC20)</f>
        <v/>
      </c>
      <c r="AF20" s="33">
        <f>((D20*O20/diesel_nmpg)*diesel_co2pg-(battery/range_nm)*D20*O20*VLOOKUP(B20,country_opex,4,FALSE))/1000</f>
        <v/>
      </c>
      <c r="AG20" s="31" t="n">
        <v>40000</v>
      </c>
      <c r="AH20" s="32" t="n"/>
      <c r="AI20" s="32" t="n"/>
      <c r="AJ20" s="39" t="n">
        <v>0.1</v>
      </c>
      <c r="AK20" s="34">
        <f>IF(AG20="","",AG20*AJ20)</f>
        <v/>
      </c>
      <c r="AL20" s="34">
        <f>IF(OR(AG20="",R20=0),"",MIN(IF(AS20="",9.9E+99,AS20),FLOOR(AK20/R20,1)))</f>
        <v/>
      </c>
      <c r="AM20" s="38">
        <f>IF(AL20="","",AL20*T20)</f>
        <v/>
      </c>
      <c r="AN20" s="36">
        <f>IF(OR(AG20="",R20=0),"",MIN(IF(AS20="",9.9E+99,AS20),AK20/R20))</f>
        <v/>
      </c>
      <c r="AO20" s="38">
        <f>IF(AN20="","",AN20*T20)</f>
        <v/>
      </c>
      <c r="AP20" s="40" t="n"/>
      <c r="AQ20" s="41" t="n"/>
      <c r="AR20" s="41" t="n"/>
      <c r="AS20" s="42" t="n"/>
      <c r="AT20" s="43">
        <f>IF(((S20*pax_cap*load_thin*ROUND(K20*L20*revleg_thin,0))-(((battery/range_nm)*D20*ROUND(K20*L20*revleg_thin,0)*VLOOKUP(B20,country_opex,3,FALSE))+V20+W20+X20+Y20+Z20))&lt;=0,"",VLOOKUP(B20,country_opex,7,FALSE)/((S20*pax_cap*load_thin*ROUND(K20*L20*revleg_thin,0))-(((battery/range_nm)*D20*ROUND(K20*L20*revleg_thin,0)*VLOOKUP(B20,country_opex,3,FALSE))+V20+W20+X20+Y20+Z20)))</f>
        <v/>
      </c>
      <c r="AU20" s="43">
        <f>IF(((S20*pax_cap*load_mid*ROUND(K20*L20*revleg_mid,0))-(((battery/range_nm)*D20*ROUND(K20*L20*revleg_mid,0)*VLOOKUP(B20,country_opex,3,FALSE))+V20+W20+X20+Y20+Z20))&lt;=0,"",VLOOKUP(B20,country_opex,7,FALSE)/((S20*pax_cap*load_mid*ROUND(K20*L20*revleg_mid,0))-(((battery/range_nm)*D20*ROUND(K20*L20*revleg_mid,0)*VLOOKUP(B20,country_opex,3,FALSE))+V20+W20+X20+Y20+Z20)))</f>
        <v/>
      </c>
      <c r="AV20" s="43">
        <f>IF(((S20*pax_cap*load_full*ROUND(K20*L20*revleg_full,0))-(((battery/range_nm)*D20*ROUND(K20*L20*revleg_full,0)*VLOOKUP(B20,country_opex,3,FALSE))+V20+W20+X20+Y20+Z20))&lt;=0,"",VLOOKUP(B20,country_opex,7,FALSE)/((S20*pax_cap*load_full*ROUND(K20*L20*revleg_full,0))-(((battery/range_nm)*D20*ROUND(K20*L20*revleg_full,0)*VLOOKUP(B20,country_opex,3,FALSE))+V20+W20+X20+Y20+Z20)))</f>
        <v/>
      </c>
      <c r="AW20" s="44" t="inlineStr">
        <is>
          <t>PREMIUM tier (sea analogue) = Paphos Harbour scheduled sea-cruise / glass-bottom-boat per-seat ~EUR 30/pax (~$32); premium shared road transfer PFO&lt;-&gt;Paphos ~EUR 20-30 as cross-check.</t>
        </is>
      </c>
      <c r="AX20" s="44" t="n"/>
    </row>
    <row r="21">
      <c r="A21" s="29" t="inlineStr">
        <is>
          <t>Bolt Cyprus</t>
        </is>
      </c>
      <c r="B21" s="29" t="inlineStr">
        <is>
          <t>Cyprus</t>
        </is>
      </c>
      <c r="C21" s="30" t="inlineStr">
        <is>
          <t>Larnaca → Ayia Napa</t>
        </is>
      </c>
      <c r="D21" s="31" t="n">
        <v>19</v>
      </c>
      <c r="E21" s="26" t="n">
        <v>32</v>
      </c>
      <c r="F21" s="32" t="inlineStr">
        <is>
          <t>T2</t>
        </is>
      </c>
      <c r="G21" s="32" t="inlineStr">
        <is>
          <t>med</t>
        </is>
      </c>
      <c r="H21" s="19" t="n">
        <v>1</v>
      </c>
      <c r="I21" s="33">
        <f>60*D21/cruise_kt</f>
        <v/>
      </c>
      <c r="J21" s="33">
        <f>I21+turn_min+dwell_min</f>
        <v/>
      </c>
      <c r="K21" s="34">
        <f>MIN(16,FLOOR(60*service_hr/J21,1))</f>
        <v/>
      </c>
      <c r="L21" s="34">
        <f>ROUND(365*mech_uptime*H21,0)</f>
        <v/>
      </c>
      <c r="M21" s="35">
        <f>mech_uptime</f>
        <v/>
      </c>
      <c r="N21" s="35">
        <f>revleg_sel</f>
        <v/>
      </c>
      <c r="O21" s="34">
        <f>ROUND(K21*L21*revleg_sel,0)</f>
        <v/>
      </c>
      <c r="P21" s="36">
        <f>load_sel</f>
        <v/>
      </c>
      <c r="Q21" s="36">
        <f>pax_cap*P21</f>
        <v/>
      </c>
      <c r="R21" s="34">
        <f>Q21*O21</f>
        <v/>
      </c>
      <c r="S21" s="37">
        <f>E21*discount</f>
        <v/>
      </c>
      <c r="T21" s="38">
        <f>S21*R21</f>
        <v/>
      </c>
      <c r="U21" s="38">
        <f>(battery/range_nm)*D21*O21*VLOOKUP(B21,country_opex,3,FALSE)</f>
        <v/>
      </c>
      <c r="V21" s="38">
        <f>VLOOKUP(B21,country_opex,2,FALSE)*crew_factor</f>
        <v/>
      </c>
      <c r="W21" s="38">
        <f>VLOOKUP(B21,country_opex,5,FALSE)</f>
        <v/>
      </c>
      <c r="X21" s="38">
        <f>maint</f>
        <v/>
      </c>
      <c r="Y21" s="38">
        <f>VLOOKUP(B21,country_opex,7,FALSE)*ins_pct</f>
        <v/>
      </c>
      <c r="Z21" s="38">
        <f>charge_berth</f>
        <v/>
      </c>
      <c r="AA21" s="38">
        <f>U21+V21+W21+X21+Y21+Z21</f>
        <v/>
      </c>
      <c r="AB21" s="38">
        <f>VLOOKUP(B21,country_opex,7,FALSE)/dep_years</f>
        <v/>
      </c>
      <c r="AC21" s="38">
        <f>T21-AA21</f>
        <v/>
      </c>
      <c r="AD21" s="35">
        <f>IF(T21=0,"",AC21/T21)</f>
        <v/>
      </c>
      <c r="AE21" s="36">
        <f>IF(AC21&lt;=0,"",VLOOKUP(B21,country_opex,7,FALSE)/AC21)</f>
        <v/>
      </c>
      <c r="AF21" s="33">
        <f>((D21*O21/diesel_nmpg)*diesel_co2pg-(battery/range_nm)*D21*O21*VLOOKUP(B21,country_opex,4,FALSE))/1000</f>
        <v/>
      </c>
      <c r="AG21" s="31" t="n"/>
      <c r="AH21" s="32" t="n"/>
      <c r="AI21" s="32" t="n"/>
      <c r="AJ21" s="39" t="n">
        <v>0.1</v>
      </c>
      <c r="AK21" s="34">
        <f>IF(AG21="","",AG21*AJ21)</f>
        <v/>
      </c>
      <c r="AL21" s="34">
        <f>IF(OR(AG21="",R21=0),"",MIN(IF(AS21="",9.9E+99,AS21),FLOOR(AK21/R21,1)))</f>
        <v/>
      </c>
      <c r="AM21" s="38">
        <f>IF(AL21="","",AL21*T21)</f>
        <v/>
      </c>
      <c r="AN21" s="36">
        <f>IF(OR(AG21="",R21=0),"",MIN(IF(AS21="",9.9E+99,AS21),AK21/R21))</f>
        <v/>
      </c>
      <c r="AO21" s="38">
        <f>IF(AN21="","",AN21*T21)</f>
        <v/>
      </c>
      <c r="AP21" s="40" t="n"/>
      <c r="AQ21" s="41" t="n"/>
      <c r="AR21" s="41" t="n"/>
      <c r="AS21" s="42" t="n"/>
      <c r="AT21" s="43">
        <f>IF(((S21*pax_cap*load_thin*ROUND(K21*L21*revleg_thin,0))-(((battery/range_nm)*D21*ROUND(K21*L21*revleg_thin,0)*VLOOKUP(B21,country_opex,3,FALSE))+V21+W21+X21+Y21+Z21))&lt;=0,"",VLOOKUP(B21,country_opex,7,FALSE)/((S21*pax_cap*load_thin*ROUND(K21*L21*revleg_thin,0))-(((battery/range_nm)*D21*ROUND(K21*L21*revleg_thin,0)*VLOOKUP(B21,country_opex,3,FALSE))+V21+W21+X21+Y21+Z21)))</f>
        <v/>
      </c>
      <c r="AU21" s="43">
        <f>IF(((S21*pax_cap*load_mid*ROUND(K21*L21*revleg_mid,0))-(((battery/range_nm)*D21*ROUND(K21*L21*revleg_mid,0)*VLOOKUP(B21,country_opex,3,FALSE))+V21+W21+X21+Y21+Z21))&lt;=0,"",VLOOKUP(B21,country_opex,7,FALSE)/((S21*pax_cap*load_mid*ROUND(K21*L21*revleg_mid,0))-(((battery/range_nm)*D21*ROUND(K21*L21*revleg_mid,0)*VLOOKUP(B21,country_opex,3,FALSE))+V21+W21+X21+Y21+Z21)))</f>
        <v/>
      </c>
      <c r="AV21" s="43">
        <f>IF(((S21*pax_cap*load_full*ROUND(K21*L21*revleg_full,0))-(((battery/range_nm)*D21*ROUND(K21*L21*revleg_full,0)*VLOOKUP(B21,country_opex,3,FALSE))+V21+W21+X21+Y21+Z21))&lt;=0,"",VLOOKUP(B21,country_opex,7,FALSE)/((S21*pax_cap*load_full*ROUND(K21*L21*revleg_full,0))-(((battery/range_nm)*D21*ROUND(K21*L21*revleg_full,0)*VLOOKUP(B21,country_opex,3,FALSE))+V21+W21+X21+Y21+Z21)))</f>
        <v/>
      </c>
      <c r="AW21" s="44" t="inlineStr">
        <is>
          <t>PREMIUM tier (sea analogue) = scheduled Ayia Napa leisure sea-cruise per-seat EUR 25-35/pax (e.g. 'The Cyprus Boat' EUR 25-35; loveayianapa cruise EUR 20); EUR 30 mid x 1.08 = ~$32/seat. Semi-private charter EUR 99/pax (MedCruises) recorded as charter context, not the modeled tier.</t>
        </is>
      </c>
      <c r="AX21" s="44" t="n"/>
    </row>
    <row r="22">
      <c r="A22" s="29" t="inlineStr">
        <is>
          <t>Bolt Cyprus</t>
        </is>
      </c>
      <c r="B22" s="29" t="inlineStr">
        <is>
          <t>Cyprus</t>
        </is>
      </c>
      <c r="C22" s="30" t="inlineStr">
        <is>
          <t>Larnaca Airport (LCA) → Ayia Napa</t>
        </is>
      </c>
      <c r="D22" s="31" t="n">
        <v>20</v>
      </c>
      <c r="E22" s="26" t="n">
        <v>38</v>
      </c>
      <c r="F22" s="32" t="inlineStr">
        <is>
          <t>T2</t>
        </is>
      </c>
      <c r="G22" s="32" t="inlineStr">
        <is>
          <t>med</t>
        </is>
      </c>
      <c r="H22" s="19" t="n">
        <v>1</v>
      </c>
      <c r="I22" s="33">
        <f>60*D22/cruise_kt</f>
        <v/>
      </c>
      <c r="J22" s="33">
        <f>I22+turn_min+dwell_min</f>
        <v/>
      </c>
      <c r="K22" s="34">
        <f>MIN(10,FLOOR(60*service_hr/J22,1))</f>
        <v/>
      </c>
      <c r="L22" s="34">
        <f>ROUND(365*mech_uptime*H22,0)</f>
        <v/>
      </c>
      <c r="M22" s="35">
        <f>mech_uptime</f>
        <v/>
      </c>
      <c r="N22" s="35">
        <f>revleg_sel</f>
        <v/>
      </c>
      <c r="O22" s="34">
        <f>ROUND(K22*L22*revleg_sel,0)</f>
        <v/>
      </c>
      <c r="P22" s="36">
        <f>load_sel</f>
        <v/>
      </c>
      <c r="Q22" s="36">
        <f>pax_cap*P22</f>
        <v/>
      </c>
      <c r="R22" s="34">
        <f>Q22*O22</f>
        <v/>
      </c>
      <c r="S22" s="37">
        <f>E22*discount</f>
        <v/>
      </c>
      <c r="T22" s="38">
        <f>S22*R22</f>
        <v/>
      </c>
      <c r="U22" s="38">
        <f>(battery/range_nm)*D22*O22*VLOOKUP(B22,country_opex,3,FALSE)</f>
        <v/>
      </c>
      <c r="V22" s="38">
        <f>VLOOKUP(B22,country_opex,2,FALSE)*crew_factor</f>
        <v/>
      </c>
      <c r="W22" s="38">
        <f>VLOOKUP(B22,country_opex,5,FALSE)</f>
        <v/>
      </c>
      <c r="X22" s="38">
        <f>maint</f>
        <v/>
      </c>
      <c r="Y22" s="38">
        <f>VLOOKUP(B22,country_opex,7,FALSE)*ins_pct</f>
        <v/>
      </c>
      <c r="Z22" s="38">
        <f>charge_berth</f>
        <v/>
      </c>
      <c r="AA22" s="38">
        <f>U22+V22+W22+X22+Y22+Z22</f>
        <v/>
      </c>
      <c r="AB22" s="38">
        <f>VLOOKUP(B22,country_opex,7,FALSE)/dep_years</f>
        <v/>
      </c>
      <c r="AC22" s="38">
        <f>T22-AA22</f>
        <v/>
      </c>
      <c r="AD22" s="35">
        <f>IF(T22=0,"",AC22/T22)</f>
        <v/>
      </c>
      <c r="AE22" s="36">
        <f>IF(AC22&lt;=0,"",VLOOKUP(B22,country_opex,7,FALSE)/AC22)</f>
        <v/>
      </c>
      <c r="AF22" s="33">
        <f>((D22*O22/diesel_nmpg)*diesel_co2pg-(battery/range_nm)*D22*O22*VLOOKUP(B22,country_opex,4,FALSE))/1000</f>
        <v/>
      </c>
      <c r="AG22" s="31" t="n">
        <v>28000</v>
      </c>
      <c r="AH22" s="32" t="n"/>
      <c r="AI22" s="32" t="n"/>
      <c r="AJ22" s="39" t="n">
        <v>0.1</v>
      </c>
      <c r="AK22" s="34">
        <f>IF(AG22="","",AG22*AJ22)</f>
        <v/>
      </c>
      <c r="AL22" s="34">
        <f>IF(OR(AG22="",R22=0),"",MIN(IF(AS22="",9.9E+99,AS22),FLOOR(AK22/R22,1)))</f>
        <v/>
      </c>
      <c r="AM22" s="38">
        <f>IF(AL22="","",AL22*T22)</f>
        <v/>
      </c>
      <c r="AN22" s="36">
        <f>IF(OR(AG22="",R22=0),"",MIN(IF(AS22="",9.9E+99,AS22),AK22/R22))</f>
        <v/>
      </c>
      <c r="AO22" s="38">
        <f>IF(AN22="","",AN22*T22)</f>
        <v/>
      </c>
      <c r="AP22" s="40" t="n"/>
      <c r="AQ22" s="41" t="n"/>
      <c r="AR22" s="41" t="n"/>
      <c r="AS22" s="42" t="n"/>
      <c r="AT22" s="43">
        <f>IF(((S22*pax_cap*load_thin*ROUND(K22*L22*revleg_thin,0))-(((battery/range_nm)*D22*ROUND(K22*L22*revleg_thin,0)*VLOOKUP(B22,country_opex,3,FALSE))+V22+W22+X22+Y22+Z22))&lt;=0,"",VLOOKUP(B22,country_opex,7,FALSE)/((S22*pax_cap*load_thin*ROUND(K22*L22*revleg_thin,0))-(((battery/range_nm)*D22*ROUND(K22*L22*revleg_thin,0)*VLOOKUP(B22,country_opex,3,FALSE))+V22+W22+X22+Y22+Z22)))</f>
        <v/>
      </c>
      <c r="AU22" s="43">
        <f>IF(((S22*pax_cap*load_mid*ROUND(K22*L22*revleg_mid,0))-(((battery/range_nm)*D22*ROUND(K22*L22*revleg_mid,0)*VLOOKUP(B22,country_opex,3,FALSE))+V22+W22+X22+Y22+Z22))&lt;=0,"",VLOOKUP(B22,country_opex,7,FALSE)/((S22*pax_cap*load_mid*ROUND(K22*L22*revleg_mid,0))-(((battery/range_nm)*D22*ROUND(K22*L22*revleg_mid,0)*VLOOKUP(B22,country_opex,3,FALSE))+V22+W22+X22+Y22+Z22)))</f>
        <v/>
      </c>
      <c r="AV22" s="43">
        <f>IF(((S22*pax_cap*load_full*ROUND(K22*L22*revleg_full,0))-(((battery/range_nm)*D22*ROUND(K22*L22*revleg_full,0)*VLOOKUP(B22,country_opex,3,FALSE))+V22+W22+X22+Y22+Z22))&lt;=0,"",VLOOKUP(B22,country_opex,7,FALSE)/((S22*pax_cap*load_full*ROUND(K22*L22*revleg_full,0))-(((battery/range_nm)*D22*ROUND(K22*L22*revleg_full,0)*VLOOKUP(B22,country_opex,3,FALSE))+V22+W22+X22+Y22+Z22)))</f>
        <v/>
      </c>
      <c r="AW22" s="44" t="inlineStr">
        <is>
          <t>PREMIUM tier = premium shared airport transfer LCA&lt;-&gt;Ayia Napa EUR 30-40 each way (Rome2Rio 'fastest, EUR 30-40, 41 min'); EUR 35 mid x 1.08 = ~$38/seat. Closest road analogue to a premium per-seat sea transfer.</t>
        </is>
      </c>
      <c r="AX22" s="44" t="n"/>
    </row>
    <row r="23">
      <c r="A23" s="29" t="inlineStr">
        <is>
          <t>Bolt Cyprus</t>
        </is>
      </c>
      <c r="B23" s="29" t="inlineStr">
        <is>
          <t>Cyprus</t>
        </is>
      </c>
      <c r="C23" s="30" t="inlineStr">
        <is>
          <t>Larnaca → Protaras</t>
        </is>
      </c>
      <c r="D23" s="31" t="n">
        <v>23</v>
      </c>
      <c r="E23" s="26" t="n">
        <v>32</v>
      </c>
      <c r="F23" s="32" t="inlineStr">
        <is>
          <t>T2</t>
        </is>
      </c>
      <c r="G23" s="32" t="inlineStr">
        <is>
          <t>med</t>
        </is>
      </c>
      <c r="H23" s="19" t="n">
        <v>1</v>
      </c>
      <c r="I23" s="33">
        <f>60*D23/cruise_kt</f>
        <v/>
      </c>
      <c r="J23" s="33">
        <f>I23+turn_min+dwell_min</f>
        <v/>
      </c>
      <c r="K23" s="34">
        <f>MIN(16,FLOOR(60*service_hr/J23,1))</f>
        <v/>
      </c>
      <c r="L23" s="34">
        <f>ROUND(365*mech_uptime*H23,0)</f>
        <v/>
      </c>
      <c r="M23" s="35">
        <f>mech_uptime</f>
        <v/>
      </c>
      <c r="N23" s="35">
        <f>revleg_sel</f>
        <v/>
      </c>
      <c r="O23" s="34">
        <f>ROUND(K23*L23*revleg_sel,0)</f>
        <v/>
      </c>
      <c r="P23" s="36">
        <f>load_sel</f>
        <v/>
      </c>
      <c r="Q23" s="36">
        <f>pax_cap*P23</f>
        <v/>
      </c>
      <c r="R23" s="34">
        <f>Q23*O23</f>
        <v/>
      </c>
      <c r="S23" s="37">
        <f>E23*discount</f>
        <v/>
      </c>
      <c r="T23" s="38">
        <f>S23*R23</f>
        <v/>
      </c>
      <c r="U23" s="38">
        <f>(battery/range_nm)*D23*O23*VLOOKUP(B23,country_opex,3,FALSE)</f>
        <v/>
      </c>
      <c r="V23" s="38">
        <f>VLOOKUP(B23,country_opex,2,FALSE)*crew_factor</f>
        <v/>
      </c>
      <c r="W23" s="38">
        <f>VLOOKUP(B23,country_opex,5,FALSE)</f>
        <v/>
      </c>
      <c r="X23" s="38">
        <f>maint</f>
        <v/>
      </c>
      <c r="Y23" s="38">
        <f>VLOOKUP(B23,country_opex,7,FALSE)*ins_pct</f>
        <v/>
      </c>
      <c r="Z23" s="38">
        <f>charge_berth</f>
        <v/>
      </c>
      <c r="AA23" s="38">
        <f>U23+V23+W23+X23+Y23+Z23</f>
        <v/>
      </c>
      <c r="AB23" s="38">
        <f>VLOOKUP(B23,country_opex,7,FALSE)/dep_years</f>
        <v/>
      </c>
      <c r="AC23" s="38">
        <f>T23-AA23</f>
        <v/>
      </c>
      <c r="AD23" s="35">
        <f>IF(T23=0,"",AC23/T23)</f>
        <v/>
      </c>
      <c r="AE23" s="36">
        <f>IF(AC23&lt;=0,"",VLOOKUP(B23,country_opex,7,FALSE)/AC23)</f>
        <v/>
      </c>
      <c r="AF23" s="33">
        <f>((D23*O23/diesel_nmpg)*diesel_co2pg-(battery/range_nm)*D23*O23*VLOOKUP(B23,country_opex,4,FALSE))/1000</f>
        <v/>
      </c>
      <c r="AG23" s="31" t="n"/>
      <c r="AH23" s="32" t="n"/>
      <c r="AI23" s="32" t="n"/>
      <c r="AJ23" s="39" t="n">
        <v>0.1</v>
      </c>
      <c r="AK23" s="34">
        <f>IF(AG23="","",AG23*AJ23)</f>
        <v/>
      </c>
      <c r="AL23" s="34">
        <f>IF(OR(AG23="",R23=0),"",MIN(IF(AS23="",9.9E+99,AS23),FLOOR(AK23/R23,1)))</f>
        <v/>
      </c>
      <c r="AM23" s="38">
        <f>IF(AL23="","",AL23*T23)</f>
        <v/>
      </c>
      <c r="AN23" s="36">
        <f>IF(OR(AG23="",R23=0),"",MIN(IF(AS23="",9.9E+99,AS23),AK23/R23))</f>
        <v/>
      </c>
      <c r="AO23" s="38">
        <f>IF(AN23="","",AN23*T23)</f>
        <v/>
      </c>
      <c r="AP23" s="40" t="n"/>
      <c r="AQ23" s="41" t="n"/>
      <c r="AR23" s="41" t="n"/>
      <c r="AS23" s="42" t="n"/>
      <c r="AT23" s="43">
        <f>IF(((S23*pax_cap*load_thin*ROUND(K23*L23*revleg_thin,0))-(((battery/range_nm)*D23*ROUND(K23*L23*revleg_thin,0)*VLOOKUP(B23,country_opex,3,FALSE))+V23+W23+X23+Y23+Z23))&lt;=0,"",VLOOKUP(B23,country_opex,7,FALSE)/((S23*pax_cap*load_thin*ROUND(K23*L23*revleg_thin,0))-(((battery/range_nm)*D23*ROUND(K23*L23*revleg_thin,0)*VLOOKUP(B23,country_opex,3,FALSE))+V23+W23+X23+Y23+Z23)))</f>
        <v/>
      </c>
      <c r="AU23" s="43">
        <f>IF(((S23*pax_cap*load_mid*ROUND(K23*L23*revleg_mid,0))-(((battery/range_nm)*D23*ROUND(K23*L23*revleg_mid,0)*VLOOKUP(B23,country_opex,3,FALSE))+V23+W23+X23+Y23+Z23))&lt;=0,"",VLOOKUP(B23,country_opex,7,FALSE)/((S23*pax_cap*load_mid*ROUND(K23*L23*revleg_mid,0))-(((battery/range_nm)*D23*ROUND(K23*L23*revleg_mid,0)*VLOOKUP(B23,country_opex,3,FALSE))+V23+W23+X23+Y23+Z23)))</f>
        <v/>
      </c>
      <c r="AV23" s="43">
        <f>IF(((S23*pax_cap*load_full*ROUND(K23*L23*revleg_full,0))-(((battery/range_nm)*D23*ROUND(K23*L23*revleg_full,0)*VLOOKUP(B23,country_opex,3,FALSE))+V23+W23+X23+Y23+Z23))&lt;=0,"",VLOOKUP(B23,country_opex,7,FALSE)/((S23*pax_cap*load_full*ROUND(K23*L23*revleg_full,0))-(((battery/range_nm)*D23*ROUND(K23*L23*revleg_full,0)*VLOOKUP(B23,country_opex,3,FALSE))+V23+W23+X23+Y23+Z23)))</f>
        <v/>
      </c>
      <c r="AW23" s="44" t="inlineStr">
        <is>
          <t>PREMIUM tier (sea analogue) = Protaras/Ayia Napa scheduled sea-cruise per-seat ~EUR 30/pax (~$32). Yellow Boat Cruises / semi-private EUR 99 as charter context.</t>
        </is>
      </c>
      <c r="AX23" s="44" t="n"/>
    </row>
    <row r="24">
      <c r="A24" s="29" t="inlineStr">
        <is>
          <t>Bolt Cyprus</t>
        </is>
      </c>
      <c r="B24" s="29" t="inlineStr">
        <is>
          <t>Cyprus</t>
        </is>
      </c>
      <c r="C24" s="30" t="inlineStr">
        <is>
          <t>Limassol Marina → Larnaca Marina</t>
        </is>
      </c>
      <c r="D24" s="31" t="n">
        <v>35</v>
      </c>
      <c r="E24" s="26" t="n">
        <v>38</v>
      </c>
      <c r="F24" s="32" t="inlineStr">
        <is>
          <t>T2</t>
        </is>
      </c>
      <c r="G24" s="32" t="inlineStr">
        <is>
          <t>med</t>
        </is>
      </c>
      <c r="H24" s="19" t="n">
        <v>1</v>
      </c>
      <c r="I24" s="33">
        <f>60*D24/cruise_kt</f>
        <v/>
      </c>
      <c r="J24" s="33">
        <f>I24+turn_min+dwell_min</f>
        <v/>
      </c>
      <c r="K24" s="34">
        <f>MIN(10,FLOOR(60*service_hr/J24,1))</f>
        <v/>
      </c>
      <c r="L24" s="34">
        <f>ROUND(365*mech_uptime*H24,0)</f>
        <v/>
      </c>
      <c r="M24" s="35">
        <f>mech_uptime</f>
        <v/>
      </c>
      <c r="N24" s="35">
        <f>revleg_sel</f>
        <v/>
      </c>
      <c r="O24" s="34">
        <f>ROUND(K24*L24*revleg_sel,0)</f>
        <v/>
      </c>
      <c r="P24" s="36">
        <f>load_sel</f>
        <v/>
      </c>
      <c r="Q24" s="36">
        <f>pax_cap*P24</f>
        <v/>
      </c>
      <c r="R24" s="34">
        <f>Q24*O24</f>
        <v/>
      </c>
      <c r="S24" s="37">
        <f>E24*discount</f>
        <v/>
      </c>
      <c r="T24" s="38">
        <f>S24*R24</f>
        <v/>
      </c>
      <c r="U24" s="38">
        <f>(battery/range_nm)*D24*O24*VLOOKUP(B24,country_opex,3,FALSE)</f>
        <v/>
      </c>
      <c r="V24" s="38">
        <f>VLOOKUP(B24,country_opex,2,FALSE)*crew_factor</f>
        <v/>
      </c>
      <c r="W24" s="38">
        <f>VLOOKUP(B24,country_opex,5,FALSE)</f>
        <v/>
      </c>
      <c r="X24" s="38">
        <f>maint</f>
        <v/>
      </c>
      <c r="Y24" s="38">
        <f>VLOOKUP(B24,country_opex,7,FALSE)*ins_pct</f>
        <v/>
      </c>
      <c r="Z24" s="38">
        <f>charge_berth</f>
        <v/>
      </c>
      <c r="AA24" s="38">
        <f>U24+V24+W24+X24+Y24+Z24</f>
        <v/>
      </c>
      <c r="AB24" s="38">
        <f>VLOOKUP(B24,country_opex,7,FALSE)/dep_years</f>
        <v/>
      </c>
      <c r="AC24" s="38">
        <f>T24-AA24</f>
        <v/>
      </c>
      <c r="AD24" s="35">
        <f>IF(T24=0,"",AC24/T24)</f>
        <v/>
      </c>
      <c r="AE24" s="36">
        <f>IF(AC24&lt;=0,"",VLOOKUP(B24,country_opex,7,FALSE)/AC24)</f>
        <v/>
      </c>
      <c r="AF24" s="33">
        <f>((D24*O24/diesel_nmpg)*diesel_co2pg-(battery/range_nm)*D24*O24*VLOOKUP(B24,country_opex,4,FALSE))/1000</f>
        <v/>
      </c>
      <c r="AG24" s="31" t="n">
        <v>99000</v>
      </c>
      <c r="AH24" s="32" t="n"/>
      <c r="AI24" s="32" t="n"/>
      <c r="AJ24" s="39" t="n">
        <v>0.1</v>
      </c>
      <c r="AK24" s="34">
        <f>IF(AG24="","",AG24*AJ24)</f>
        <v/>
      </c>
      <c r="AL24" s="34">
        <f>IF(OR(AG24="",R24=0),"",MIN(IF(AS24="",9.9E+99,AS24),FLOOR(AK24/R24,1)))</f>
        <v/>
      </c>
      <c r="AM24" s="38">
        <f>IF(AL24="","",AL24*T24)</f>
        <v/>
      </c>
      <c r="AN24" s="36">
        <f>IF(OR(AG24="",R24=0),"",MIN(IF(AS24="",9.9E+99,AS24),AK24/R24))</f>
        <v/>
      </c>
      <c r="AO24" s="38">
        <f>IF(AN24="","",AN24*T24)</f>
        <v/>
      </c>
      <c r="AP24" s="40" t="n"/>
      <c r="AQ24" s="41" t="n"/>
      <c r="AR24" s="41" t="inlineStr">
        <is>
          <t>modal_shift_greenfield</t>
        </is>
      </c>
      <c r="AS24" s="42" t="n"/>
      <c r="AT24" s="43">
        <f>IF(((S24*pax_cap*load_thin*ROUND(K24*L24*revleg_thin,0))-(((battery/range_nm)*D24*ROUND(K24*L24*revleg_thin,0)*VLOOKUP(B24,country_opex,3,FALSE))+V24+W24+X24+Y24+Z24))&lt;=0,"",VLOOKUP(B24,country_opex,7,FALSE)/((S24*pax_cap*load_thin*ROUND(K24*L24*revleg_thin,0))-(((battery/range_nm)*D24*ROUND(K24*L24*revleg_thin,0)*VLOOKUP(B24,country_opex,3,FALSE))+V24+W24+X24+Y24+Z24)))</f>
        <v/>
      </c>
      <c r="AU24" s="43">
        <f>IF(((S24*pax_cap*load_mid*ROUND(K24*L24*revleg_mid,0))-(((battery/range_nm)*D24*ROUND(K24*L24*revleg_mid,0)*VLOOKUP(B24,country_opex,3,FALSE))+V24+W24+X24+Y24+Z24))&lt;=0,"",VLOOKUP(B24,country_opex,7,FALSE)/((S24*pax_cap*load_mid*ROUND(K24*L24*revleg_mid,0))-(((battery/range_nm)*D24*ROUND(K24*L24*revleg_mid,0)*VLOOKUP(B24,country_opex,3,FALSE))+V24+W24+X24+Y24+Z24)))</f>
        <v/>
      </c>
      <c r="AV24" s="43">
        <f>IF(((S24*pax_cap*load_full*ROUND(K24*L24*revleg_full,0))-(((battery/range_nm)*D24*ROUND(K24*L24*revleg_full,0)*VLOOKUP(B24,country_opex,3,FALSE))+V24+W24+X24+Y24+Z24))&lt;=0,"",VLOOKUP(B24,country_opex,7,FALSE)/((S24*pax_cap*load_full*ROUND(K24*L24*revleg_full,0))-(((battery/range_nm)*D24*ROUND(K24*L24*revleg_full,0)*VLOOKUP(B24,country_opex,3,FALSE))+V24+W24+X24+Y24+Z24)))</f>
        <v/>
      </c>
      <c r="AW24" s="44" t="inlineStr">
        <is>
          <t>PREMIUM tier = premium shared airport/city transfer Limassol&lt;-&gt;Larnaca ~EUR 30-40 each way (Rome2Rio), EUR 35 mid x 1.08 = ~$38/seat. Closest road analogue to a premium per-seat sea shuttle; magnitude matches the Dubai $40.8 RTA convention. No scheduled-marine fare exists (no water-taxi/ferry line).</t>
        </is>
      </c>
      <c r="AX24" s="44" t="n"/>
    </row>
    <row r="25">
      <c r="A25" s="29" t="inlineStr">
        <is>
          <t>Bolt Cyprus</t>
        </is>
      </c>
      <c r="B25" s="29" t="inlineStr">
        <is>
          <t>Cyprus</t>
        </is>
      </c>
      <c r="C25" s="30" t="inlineStr">
        <is>
          <t>Larnaca Airport (LCA) → Limassol</t>
        </is>
      </c>
      <c r="D25" s="31" t="n">
        <v>35</v>
      </c>
      <c r="E25" s="26" t="n">
        <v>38</v>
      </c>
      <c r="F25" s="32" t="inlineStr">
        <is>
          <t>T2</t>
        </is>
      </c>
      <c r="G25" s="32" t="inlineStr">
        <is>
          <t>med</t>
        </is>
      </c>
      <c r="H25" s="19" t="n">
        <v>1</v>
      </c>
      <c r="I25" s="33">
        <f>60*D25/cruise_kt</f>
        <v/>
      </c>
      <c r="J25" s="33">
        <f>I25+turn_min+dwell_min</f>
        <v/>
      </c>
      <c r="K25" s="34">
        <f>MIN(10,FLOOR(60*service_hr/J25,1))</f>
        <v/>
      </c>
      <c r="L25" s="34">
        <f>ROUND(365*mech_uptime*H25,0)</f>
        <v/>
      </c>
      <c r="M25" s="35">
        <f>mech_uptime</f>
        <v/>
      </c>
      <c r="N25" s="35">
        <f>revleg_sel</f>
        <v/>
      </c>
      <c r="O25" s="34">
        <f>ROUND(K25*L25*revleg_sel,0)</f>
        <v/>
      </c>
      <c r="P25" s="36">
        <f>load_sel</f>
        <v/>
      </c>
      <c r="Q25" s="36">
        <f>pax_cap*P25</f>
        <v/>
      </c>
      <c r="R25" s="34">
        <f>Q25*O25</f>
        <v/>
      </c>
      <c r="S25" s="37">
        <f>E25*discount</f>
        <v/>
      </c>
      <c r="T25" s="38">
        <f>S25*R25</f>
        <v/>
      </c>
      <c r="U25" s="38">
        <f>(battery/range_nm)*D25*O25*VLOOKUP(B25,country_opex,3,FALSE)</f>
        <v/>
      </c>
      <c r="V25" s="38">
        <f>VLOOKUP(B25,country_opex,2,FALSE)*crew_factor</f>
        <v/>
      </c>
      <c r="W25" s="38">
        <f>VLOOKUP(B25,country_opex,5,FALSE)</f>
        <v/>
      </c>
      <c r="X25" s="38">
        <f>maint</f>
        <v/>
      </c>
      <c r="Y25" s="38">
        <f>VLOOKUP(B25,country_opex,7,FALSE)*ins_pct</f>
        <v/>
      </c>
      <c r="Z25" s="38">
        <f>charge_berth</f>
        <v/>
      </c>
      <c r="AA25" s="38">
        <f>U25+V25+W25+X25+Y25+Z25</f>
        <v/>
      </c>
      <c r="AB25" s="38">
        <f>VLOOKUP(B25,country_opex,7,FALSE)/dep_years</f>
        <v/>
      </c>
      <c r="AC25" s="38">
        <f>T25-AA25</f>
        <v/>
      </c>
      <c r="AD25" s="35">
        <f>IF(T25=0,"",AC25/T25)</f>
        <v/>
      </c>
      <c r="AE25" s="36">
        <f>IF(AC25&lt;=0,"",VLOOKUP(B25,country_opex,7,FALSE)/AC25)</f>
        <v/>
      </c>
      <c r="AF25" s="33">
        <f>((D25*O25/diesel_nmpg)*diesel_co2pg-(battery/range_nm)*D25*O25*VLOOKUP(B25,country_opex,4,FALSE))/1000</f>
        <v/>
      </c>
      <c r="AG25" s="31" t="n"/>
      <c r="AH25" s="32" t="n"/>
      <c r="AI25" s="32" t="n"/>
      <c r="AJ25" s="39" t="n">
        <v>0.1</v>
      </c>
      <c r="AK25" s="34">
        <f>IF(AG25="","",AG25*AJ25)</f>
        <v/>
      </c>
      <c r="AL25" s="34">
        <f>IF(OR(AG25="",R25=0),"",MIN(IF(AS25="",9.9E+99,AS25),FLOOR(AK25/R25,1)))</f>
        <v/>
      </c>
      <c r="AM25" s="38">
        <f>IF(AL25="","",AL25*T25)</f>
        <v/>
      </c>
      <c r="AN25" s="36">
        <f>IF(OR(AG25="",R25=0),"",MIN(IF(AS25="",9.9E+99,AS25),AK25/R25))</f>
        <v/>
      </c>
      <c r="AO25" s="38">
        <f>IF(AN25="","",AN25*T25)</f>
        <v/>
      </c>
      <c r="AP25" s="40" t="n"/>
      <c r="AQ25" s="41" t="n"/>
      <c r="AR25" s="41" t="n"/>
      <c r="AS25" s="42" t="n"/>
      <c r="AT25" s="43">
        <f>IF(((S25*pax_cap*load_thin*ROUND(K25*L25*revleg_thin,0))-(((battery/range_nm)*D25*ROUND(K25*L25*revleg_thin,0)*VLOOKUP(B25,country_opex,3,FALSE))+V25+W25+X25+Y25+Z25))&lt;=0,"",VLOOKUP(B25,country_opex,7,FALSE)/((S25*pax_cap*load_thin*ROUND(K25*L25*revleg_thin,0))-(((battery/range_nm)*D25*ROUND(K25*L25*revleg_thin,0)*VLOOKUP(B25,country_opex,3,FALSE))+V25+W25+X25+Y25+Z25)))</f>
        <v/>
      </c>
      <c r="AU25" s="43">
        <f>IF(((S25*pax_cap*load_mid*ROUND(K25*L25*revleg_mid,0))-(((battery/range_nm)*D25*ROUND(K25*L25*revleg_mid,0)*VLOOKUP(B25,country_opex,3,FALSE))+V25+W25+X25+Y25+Z25))&lt;=0,"",VLOOKUP(B25,country_opex,7,FALSE)/((S25*pax_cap*load_mid*ROUND(K25*L25*revleg_mid,0))-(((battery/range_nm)*D25*ROUND(K25*L25*revleg_mid,0)*VLOOKUP(B25,country_opex,3,FALSE))+V25+W25+X25+Y25+Z25)))</f>
        <v/>
      </c>
      <c r="AV25" s="43">
        <f>IF(((S25*pax_cap*load_full*ROUND(K25*L25*revleg_full,0))-(((battery/range_nm)*D25*ROUND(K25*L25*revleg_full,0)*VLOOKUP(B25,country_opex,3,FALSE))+V25+W25+X25+Y25+Z25))&lt;=0,"",VLOOKUP(B25,country_opex,7,FALSE)/((S25*pax_cap*load_full*ROUND(K25*L25*revleg_full,0))-(((battery/range_nm)*D25*ROUND(K25*L25*revleg_full,0)*VLOOKUP(B25,country_opex,3,FALSE))+V25+W25+X25+Y25+Z25)))</f>
        <v/>
      </c>
      <c r="AW25" s="44" t="inlineStr">
        <is>
          <t>PREMIUM tier = premium shared airport transfer LCA&lt;-&gt;Limassol EUR 30-40 each way (Rome2Rio), ~$38/seat. Same anchor as the Limassol-&gt;Larnaca corridor.</t>
        </is>
      </c>
      <c r="AX25" s="44" t="n"/>
    </row>
    <row r="26">
      <c r="A26" s="29" t="inlineStr">
        <is>
          <t>Bolt Cyprus</t>
        </is>
      </c>
      <c r="B26" s="29" t="inlineStr">
        <is>
          <t>Cyprus</t>
        </is>
      </c>
      <c r="C26" s="30" t="inlineStr">
        <is>
          <t>Limassol → Paphos</t>
        </is>
      </c>
      <c r="D26" s="31" t="n">
        <v>40</v>
      </c>
      <c r="E26" s="26" t="n">
        <v>20</v>
      </c>
      <c r="F26" s="32" t="inlineStr">
        <is>
          <t>T2</t>
        </is>
      </c>
      <c r="G26" s="32" t="inlineStr">
        <is>
          <t>med</t>
        </is>
      </c>
      <c r="H26" s="19" t="n">
        <v>1</v>
      </c>
      <c r="I26" s="33">
        <f>60*D26/cruise_kt</f>
        <v/>
      </c>
      <c r="J26" s="33">
        <f>I26+turn_min+dwell_min</f>
        <v/>
      </c>
      <c r="K26" s="34">
        <f>MIN(16,FLOOR(60*service_hr/J26,1))</f>
        <v/>
      </c>
      <c r="L26" s="34">
        <f>ROUND(365*mech_uptime*H26,0)</f>
        <v/>
      </c>
      <c r="M26" s="35">
        <f>mech_uptime</f>
        <v/>
      </c>
      <c r="N26" s="35">
        <f>revleg_sel</f>
        <v/>
      </c>
      <c r="O26" s="34">
        <f>ROUND(K26*L26*revleg_sel,0)</f>
        <v/>
      </c>
      <c r="P26" s="36">
        <f>load_sel</f>
        <v/>
      </c>
      <c r="Q26" s="36">
        <f>pax_cap*P26</f>
        <v/>
      </c>
      <c r="R26" s="34">
        <f>Q26*O26</f>
        <v/>
      </c>
      <c r="S26" s="37">
        <f>E26*discount</f>
        <v/>
      </c>
      <c r="T26" s="38">
        <f>S26*R26</f>
        <v/>
      </c>
      <c r="U26" s="38">
        <f>(battery/range_nm)*D26*O26*VLOOKUP(B26,country_opex,3,FALSE)</f>
        <v/>
      </c>
      <c r="V26" s="38">
        <f>VLOOKUP(B26,country_opex,2,FALSE)*crew_factor</f>
        <v/>
      </c>
      <c r="W26" s="38">
        <f>VLOOKUP(B26,country_opex,5,FALSE)</f>
        <v/>
      </c>
      <c r="X26" s="38">
        <f>maint</f>
        <v/>
      </c>
      <c r="Y26" s="38">
        <f>VLOOKUP(B26,country_opex,7,FALSE)*ins_pct</f>
        <v/>
      </c>
      <c r="Z26" s="38">
        <f>charge_berth</f>
        <v/>
      </c>
      <c r="AA26" s="38">
        <f>U26+V26+W26+X26+Y26+Z26</f>
        <v/>
      </c>
      <c r="AB26" s="38">
        <f>VLOOKUP(B26,country_opex,7,FALSE)/dep_years</f>
        <v/>
      </c>
      <c r="AC26" s="38">
        <f>T26-AA26</f>
        <v/>
      </c>
      <c r="AD26" s="35">
        <f>IF(T26=0,"",AC26/T26)</f>
        <v/>
      </c>
      <c r="AE26" s="36">
        <f>IF(AC26&lt;=0,"",VLOOKUP(B26,country_opex,7,FALSE)/AC26)</f>
        <v/>
      </c>
      <c r="AF26" s="33">
        <f>((D26*O26/diesel_nmpg)*diesel_co2pg-(battery/range_nm)*D26*O26*VLOOKUP(B26,country_opex,4,FALSE))/1000</f>
        <v/>
      </c>
      <c r="AG26" s="31" t="n"/>
      <c r="AH26" s="32" t="n"/>
      <c r="AI26" s="32" t="n"/>
      <c r="AJ26" s="39" t="n">
        <v>0.1</v>
      </c>
      <c r="AK26" s="34">
        <f>IF(AG26="","",AG26*AJ26)</f>
        <v/>
      </c>
      <c r="AL26" s="34">
        <f>IF(OR(AG26="",R26=0),"",MIN(IF(AS26="",9.9E+99,AS26),FLOOR(AK26/R26,1)))</f>
        <v/>
      </c>
      <c r="AM26" s="38">
        <f>IF(AL26="","",AL26*T26)</f>
        <v/>
      </c>
      <c r="AN26" s="36">
        <f>IF(OR(AG26="",R26=0),"",MIN(IF(AS26="",9.9E+99,AS26),AK26/R26))</f>
        <v/>
      </c>
      <c r="AO26" s="38">
        <f>IF(AN26="","",AN26*T26)</f>
        <v/>
      </c>
      <c r="AP26" s="40" t="n"/>
      <c r="AQ26" s="41" t="n"/>
      <c r="AR26" s="41" t="n"/>
      <c r="AS26" s="42" t="n"/>
      <c r="AT26" s="43">
        <f>IF(((S26*pax_cap*load_thin*ROUND(K26*L26*revleg_thin,0))-(((battery/range_nm)*D26*ROUND(K26*L26*revleg_thin,0)*VLOOKUP(B26,country_opex,3,FALSE))+V26+W26+X26+Y26+Z26))&lt;=0,"",VLOOKUP(B26,country_opex,7,FALSE)/((S26*pax_cap*load_thin*ROUND(K26*L26*revleg_thin,0))-(((battery/range_nm)*D26*ROUND(K26*L26*revleg_thin,0)*VLOOKUP(B26,country_opex,3,FALSE))+V26+W26+X26+Y26+Z26)))</f>
        <v/>
      </c>
      <c r="AU26" s="43">
        <f>IF(((S26*pax_cap*load_mid*ROUND(K26*L26*revleg_mid,0))-(((battery/range_nm)*D26*ROUND(K26*L26*revleg_mid,0)*VLOOKUP(B26,country_opex,3,FALSE))+V26+W26+X26+Y26+Z26))&lt;=0,"",VLOOKUP(B26,country_opex,7,FALSE)/((S26*pax_cap*load_mid*ROUND(K26*L26*revleg_mid,0))-(((battery/range_nm)*D26*ROUND(K26*L26*revleg_mid,0)*VLOOKUP(B26,country_opex,3,FALSE))+V26+W26+X26+Y26+Z26)))</f>
        <v/>
      </c>
      <c r="AV26" s="43">
        <f>IF(((S26*pax_cap*load_full*ROUND(K26*L26*revleg_full,0))-(((battery/range_nm)*D26*ROUND(K26*L26*revleg_full,0)*VLOOKUP(B26,country_opex,3,FALSE))+V26+W26+X26+Y26+Z26))&lt;=0,"",VLOOKUP(B26,country_opex,7,FALSE)/((S26*pax_cap*load_full*ROUND(K26*L26*revleg_full,0))-(((battery/range_nm)*D26*ROUND(K26*L26*revleg_full,0)*VLOOKUP(B26,country_opex,3,FALSE))+V26+W26+X26+Y26+Z26)))</f>
        <v/>
      </c>
      <c r="AW26" s="44" t="inlineStr">
        <is>
          <t>PREMIUM tier (road analogue) = private taxi/transfer Limassol&lt;-&gt;Paphos EUR 70-80/car divided ~4 pax (~EUR 18-20/seat) and shared shuttle EUR 10-18/pax; EUR 18.5 mid x 1.08 = ~$20/seat. No scheduled-marine fare exists.</t>
        </is>
      </c>
      <c r="AX26" s="44" t="n"/>
    </row>
    <row r="27">
      <c r="A27" s="29" t="inlineStr">
        <is>
          <t>Bolt Cyprus</t>
        </is>
      </c>
      <c r="B27" s="29" t="inlineStr">
        <is>
          <t>Cyprus</t>
        </is>
      </c>
      <c r="C27" s="30" t="inlineStr">
        <is>
          <t>Limassol → Ayia Napa</t>
        </is>
      </c>
      <c r="D27" s="31" t="n">
        <v>52</v>
      </c>
      <c r="E27" s="26" t="n">
        <v>38</v>
      </c>
      <c r="F27" s="32" t="inlineStr">
        <is>
          <t>T2</t>
        </is>
      </c>
      <c r="G27" s="32" t="inlineStr">
        <is>
          <t>med</t>
        </is>
      </c>
      <c r="H27" s="19" t="n">
        <v>1</v>
      </c>
      <c r="I27" s="33">
        <f>60*D27/cruise_kt</f>
        <v/>
      </c>
      <c r="J27" s="33">
        <f>I27+turn_min+dwell_min</f>
        <v/>
      </c>
      <c r="K27" s="34">
        <f>MIN(16,FLOOR(60*service_hr/J27,1))</f>
        <v/>
      </c>
      <c r="L27" s="34">
        <f>ROUND(365*mech_uptime*H27,0)</f>
        <v/>
      </c>
      <c r="M27" s="35">
        <f>mech_uptime</f>
        <v/>
      </c>
      <c r="N27" s="35">
        <f>revleg_sel</f>
        <v/>
      </c>
      <c r="O27" s="34">
        <f>ROUND(K27*L27*revleg_sel,0)</f>
        <v/>
      </c>
      <c r="P27" s="36">
        <f>load_sel</f>
        <v/>
      </c>
      <c r="Q27" s="36">
        <f>pax_cap*P27</f>
        <v/>
      </c>
      <c r="R27" s="34">
        <f>Q27*O27</f>
        <v/>
      </c>
      <c r="S27" s="37">
        <f>E27*discount</f>
        <v/>
      </c>
      <c r="T27" s="38">
        <f>S27*R27</f>
        <v/>
      </c>
      <c r="U27" s="38">
        <f>(battery/range_nm)*D27*O27*VLOOKUP(B27,country_opex,3,FALSE)</f>
        <v/>
      </c>
      <c r="V27" s="38">
        <f>VLOOKUP(B27,country_opex,2,FALSE)*crew_factor</f>
        <v/>
      </c>
      <c r="W27" s="38">
        <f>VLOOKUP(B27,country_opex,5,FALSE)</f>
        <v/>
      </c>
      <c r="X27" s="38">
        <f>maint</f>
        <v/>
      </c>
      <c r="Y27" s="38">
        <f>VLOOKUP(B27,country_opex,7,FALSE)*ins_pct</f>
        <v/>
      </c>
      <c r="Z27" s="38">
        <f>charge_berth</f>
        <v/>
      </c>
      <c r="AA27" s="38">
        <f>U27+V27+W27+X27+Y27+Z27</f>
        <v/>
      </c>
      <c r="AB27" s="38">
        <f>VLOOKUP(B27,country_opex,7,FALSE)/dep_years</f>
        <v/>
      </c>
      <c r="AC27" s="38">
        <f>T27-AA27</f>
        <v/>
      </c>
      <c r="AD27" s="35">
        <f>IF(T27=0,"",AC27/T27)</f>
        <v/>
      </c>
      <c r="AE27" s="36">
        <f>IF(AC27&lt;=0,"",VLOOKUP(B27,country_opex,7,FALSE)/AC27)</f>
        <v/>
      </c>
      <c r="AF27" s="33">
        <f>((D27*O27/diesel_nmpg)*diesel_co2pg-(battery/range_nm)*D27*O27*VLOOKUP(B27,country_opex,4,FALSE))/1000</f>
        <v/>
      </c>
      <c r="AG27" s="31" t="n"/>
      <c r="AH27" s="32" t="n"/>
      <c r="AI27" s="32" t="n"/>
      <c r="AJ27" s="39" t="n">
        <v>0.1</v>
      </c>
      <c r="AK27" s="34">
        <f>IF(AG27="","",AG27*AJ27)</f>
        <v/>
      </c>
      <c r="AL27" s="34">
        <f>IF(OR(AG27="",R27=0),"",MIN(IF(AS27="",9.9E+99,AS27),FLOOR(AK27/R27,1)))</f>
        <v/>
      </c>
      <c r="AM27" s="38">
        <f>IF(AL27="","",AL27*T27)</f>
        <v/>
      </c>
      <c r="AN27" s="36">
        <f>IF(OR(AG27="",R27=0),"",MIN(IF(AS27="",9.9E+99,AS27),AK27/R27))</f>
        <v/>
      </c>
      <c r="AO27" s="38">
        <f>IF(AN27="","",AN27*T27)</f>
        <v/>
      </c>
      <c r="AP27" s="40" t="n"/>
      <c r="AQ27" s="41" t="n"/>
      <c r="AR27" s="41" t="n"/>
      <c r="AS27" s="42" t="n"/>
      <c r="AT27" s="43">
        <f>IF(((S27*pax_cap*load_thin*ROUND(K27*L27*revleg_thin,0))-(((battery/range_nm)*D27*ROUND(K27*L27*revleg_thin,0)*VLOOKUP(B27,country_opex,3,FALSE))+V27+W27+X27+Y27+Z27))&lt;=0,"",VLOOKUP(B27,country_opex,7,FALSE)/((S27*pax_cap*load_thin*ROUND(K27*L27*revleg_thin,0))-(((battery/range_nm)*D27*ROUND(K27*L27*revleg_thin,0)*VLOOKUP(B27,country_opex,3,FALSE))+V27+W27+X27+Y27+Z27)))</f>
        <v/>
      </c>
      <c r="AU27" s="43">
        <f>IF(((S27*pax_cap*load_mid*ROUND(K27*L27*revleg_mid,0))-(((battery/range_nm)*D27*ROUND(K27*L27*revleg_mid,0)*VLOOKUP(B27,country_opex,3,FALSE))+V27+W27+X27+Y27+Z27))&lt;=0,"",VLOOKUP(B27,country_opex,7,FALSE)/((S27*pax_cap*load_mid*ROUND(K27*L27*revleg_mid,0))-(((battery/range_nm)*D27*ROUND(K27*L27*revleg_mid,0)*VLOOKUP(B27,country_opex,3,FALSE))+V27+W27+X27+Y27+Z27)))</f>
        <v/>
      </c>
      <c r="AV27" s="43">
        <f>IF(((S27*pax_cap*load_full*ROUND(K27*L27*revleg_full,0))-(((battery/range_nm)*D27*ROUND(K27*L27*revleg_full,0)*VLOOKUP(B27,country_opex,3,FALSE))+V27+W27+X27+Y27+Z27))&lt;=0,"",VLOOKUP(B27,country_opex,7,FALSE)/((S27*pax_cap*load_full*ROUND(K27*L27*revleg_full,0))-(((battery/range_nm)*D27*ROUND(K27*L27*revleg_full,0)*VLOOKUP(B27,country_opex,3,FALSE))+V27+W27+X27+Y27+Z27)))</f>
        <v/>
      </c>
      <c r="AW27" s="44" t="inlineStr">
        <is>
          <t>PREMIUM tier (sea analogue, distance-scaled) = ~EUR 35/pax (~$38), between the Ayia Napa cruise tier (EUR 30) and a longer-haul premium; indicative given no scheduled service. Private long transfer Limassol-&gt;Ayia Napa ~EUR 100-120/car as charter context.</t>
        </is>
      </c>
      <c r="AX27" s="44" t="n"/>
    </row>
    <row r="28">
      <c r="A28" s="29" t="inlineStr">
        <is>
          <t>Bolt Egypt</t>
        </is>
      </c>
      <c r="B28" s="29" t="inlineStr">
        <is>
          <t>Egypt</t>
        </is>
      </c>
      <c r="C28" s="30" t="inlineStr">
        <is>
          <t>El Gouna (internal lagoon) → El Gouna Downtown / Abu Tig</t>
        </is>
      </c>
      <c r="D28" s="31" t="n">
        <v>2</v>
      </c>
      <c r="E28" s="26" t="n">
        <v>18</v>
      </c>
      <c r="F28" s="32" t="inlineStr">
        <is>
          <t>T2</t>
        </is>
      </c>
      <c r="G28" s="32" t="inlineStr">
        <is>
          <t>med</t>
        </is>
      </c>
      <c r="H28" s="19" t="n">
        <v>1</v>
      </c>
      <c r="I28" s="33">
        <f>60*D28/cruise_kt</f>
        <v/>
      </c>
      <c r="J28" s="33">
        <f>I28+turn_min+dwell_min</f>
        <v/>
      </c>
      <c r="K28" s="34">
        <f>MIN(10,FLOOR(60*service_hr/J28,1))</f>
        <v/>
      </c>
      <c r="L28" s="34">
        <f>ROUND(365*mech_uptime*H28,0)</f>
        <v/>
      </c>
      <c r="M28" s="35">
        <f>mech_uptime</f>
        <v/>
      </c>
      <c r="N28" s="35">
        <f>revleg_sel</f>
        <v/>
      </c>
      <c r="O28" s="34">
        <f>ROUND(K28*L28*revleg_sel,0)</f>
        <v/>
      </c>
      <c r="P28" s="36">
        <f>load_sel</f>
        <v/>
      </c>
      <c r="Q28" s="36">
        <f>pax_cap*P28</f>
        <v/>
      </c>
      <c r="R28" s="34">
        <f>Q28*O28</f>
        <v/>
      </c>
      <c r="S28" s="37">
        <f>E28*discount</f>
        <v/>
      </c>
      <c r="T28" s="38">
        <f>S28*R28</f>
        <v/>
      </c>
      <c r="U28" s="38">
        <f>(battery/range_nm)*D28*O28*VLOOKUP(B28,country_opex,3,FALSE)</f>
        <v/>
      </c>
      <c r="V28" s="38">
        <f>VLOOKUP(B28,country_opex,2,FALSE)*crew_factor</f>
        <v/>
      </c>
      <c r="W28" s="38">
        <f>VLOOKUP(B28,country_opex,5,FALSE)</f>
        <v/>
      </c>
      <c r="X28" s="38">
        <f>maint</f>
        <v/>
      </c>
      <c r="Y28" s="38">
        <f>VLOOKUP(B28,country_opex,7,FALSE)*ins_pct</f>
        <v/>
      </c>
      <c r="Z28" s="38">
        <f>charge_berth</f>
        <v/>
      </c>
      <c r="AA28" s="38">
        <f>U28+V28+W28+X28+Y28+Z28</f>
        <v/>
      </c>
      <c r="AB28" s="38">
        <f>VLOOKUP(B28,country_opex,7,FALSE)/dep_years</f>
        <v/>
      </c>
      <c r="AC28" s="38">
        <f>T28-AA28</f>
        <v/>
      </c>
      <c r="AD28" s="35">
        <f>IF(T28=0,"",AC28/T28)</f>
        <v/>
      </c>
      <c r="AE28" s="36">
        <f>IF(AC28&lt;=0,"",VLOOKUP(B28,country_opex,7,FALSE)/AC28)</f>
        <v/>
      </c>
      <c r="AF28" s="33">
        <f>((D28*O28/diesel_nmpg)*diesel_co2pg-(battery/range_nm)*D28*O28*VLOOKUP(B28,country_opex,4,FALSE))/1000</f>
        <v/>
      </c>
      <c r="AG28" s="31" t="n"/>
      <c r="AH28" s="32" t="n"/>
      <c r="AI28" s="32" t="n"/>
      <c r="AJ28" s="39" t="n">
        <v>0.1</v>
      </c>
      <c r="AK28" s="34">
        <f>IF(AG28="","",AG28*AJ28)</f>
        <v/>
      </c>
      <c r="AL28" s="34">
        <f>IF(OR(AG28="",R28=0),"",MIN(IF(AS28="",9.9E+99,AS28),FLOOR(AK28/R28,1)))</f>
        <v/>
      </c>
      <c r="AM28" s="38">
        <f>IF(AL28="","",AL28*T28)</f>
        <v/>
      </c>
      <c r="AN28" s="36">
        <f>IF(OR(AG28="",R28=0),"",MIN(IF(AS28="",9.9E+99,AS28),AK28/R28))</f>
        <v/>
      </c>
      <c r="AO28" s="38">
        <f>IF(AN28="","",AN28*T28)</f>
        <v/>
      </c>
      <c r="AP28" s="40" t="n"/>
      <c r="AQ28" s="41" t="n"/>
      <c r="AR28" s="41" t="n"/>
      <c r="AS28" s="42" t="n"/>
      <c r="AT28" s="43">
        <f>IF(((S28*pax_cap*load_thin*ROUND(K28*L28*revleg_thin,0))-(((battery/range_nm)*D28*ROUND(K28*L28*revleg_thin,0)*VLOOKUP(B28,country_opex,3,FALSE))+V28+W28+X28+Y28+Z28))&lt;=0,"",VLOOKUP(B28,country_opex,7,FALSE)/((S28*pax_cap*load_thin*ROUND(K28*L28*revleg_thin,0))-(((battery/range_nm)*D28*ROUND(K28*L28*revleg_thin,0)*VLOOKUP(B28,country_opex,3,FALSE))+V28+W28+X28+Y28+Z28)))</f>
        <v/>
      </c>
      <c r="AU28" s="43">
        <f>IF(((S28*pax_cap*load_mid*ROUND(K28*L28*revleg_mid,0))-(((battery/range_nm)*D28*ROUND(K28*L28*revleg_mid,0)*VLOOKUP(B28,country_opex,3,FALSE))+V28+W28+X28+Y28+Z28))&lt;=0,"",VLOOKUP(B28,country_opex,7,FALSE)/((S28*pax_cap*load_mid*ROUND(K28*L28*revleg_mid,0))-(((battery/range_nm)*D28*ROUND(K28*L28*revleg_mid,0)*VLOOKUP(B28,country_opex,3,FALSE))+V28+W28+X28+Y28+Z28)))</f>
        <v/>
      </c>
      <c r="AV28" s="43">
        <f>IF(((S28*pax_cap*load_full*ROUND(K28*L28*revleg_full,0))-(((battery/range_nm)*D28*ROUND(K28*L28*revleg_full,0)*VLOOKUP(B28,country_opex,3,FALSE))+V28+W28+X28+Y28+Z28))&lt;=0,"",VLOOKUP(B28,country_opex,7,FALSE)/((S28*pax_cap*load_full*ROUND(K28*L28*revleg_full,0))-(((battery/range_nm)*D28*ROUND(K28*L28*revleg_full,0)*VLOOKUP(B28,country_opex,3,FALSE))+V28+W28+X28+Y28+Z28)))</f>
        <v/>
      </c>
      <c r="AW28" s="44" t="inlineStr">
        <is>
          <t>[LB-255 PREMIUM RE-FARE: subsidized comparable $5.0 lifted to premium on-demand floor $18.0] PREMIUM-floor internal water-taxi tier: El Gouna lagoon boat-taxi short hop ~150-250 EGP (~$3-5). Internal-resort micro-corridor; below the open-sea premium tier.</t>
        </is>
      </c>
      <c r="AX28" s="44" t="n"/>
    </row>
    <row r="29">
      <c r="A29" s="29" t="inlineStr">
        <is>
          <t>Bolt Egypt</t>
        </is>
      </c>
      <c r="B29" s="29" t="inlineStr">
        <is>
          <t>Egypt</t>
        </is>
      </c>
      <c r="C29" s="30" t="inlineStr">
        <is>
          <t>Cairo - Maadi → Cairo - Zamalek / Downtown</t>
        </is>
      </c>
      <c r="D29" s="31" t="n">
        <v>6</v>
      </c>
      <c r="E29" s="26" t="n">
        <v>18</v>
      </c>
      <c r="F29" s="32" t="inlineStr">
        <is>
          <t>T2</t>
        </is>
      </c>
      <c r="G29" s="32" t="inlineStr">
        <is>
          <t>med</t>
        </is>
      </c>
      <c r="H29" s="19" t="n">
        <v>1</v>
      </c>
      <c r="I29" s="33">
        <f>60*D29/cruise_kt</f>
        <v/>
      </c>
      <c r="J29" s="33">
        <f>I29+turn_min+dwell_min</f>
        <v/>
      </c>
      <c r="K29" s="34">
        <f>MIN(16,FLOOR(60*service_hr/J29,1))</f>
        <v/>
      </c>
      <c r="L29" s="34">
        <f>ROUND(365*mech_uptime*H29,0)</f>
        <v/>
      </c>
      <c r="M29" s="35">
        <f>mech_uptime</f>
        <v/>
      </c>
      <c r="N29" s="35">
        <f>revleg_sel</f>
        <v/>
      </c>
      <c r="O29" s="34">
        <f>ROUND(K29*L29*revleg_sel,0)</f>
        <v/>
      </c>
      <c r="P29" s="36">
        <f>load_sel</f>
        <v/>
      </c>
      <c r="Q29" s="36">
        <f>pax_cap*P29</f>
        <v/>
      </c>
      <c r="R29" s="34">
        <f>Q29*O29</f>
        <v/>
      </c>
      <c r="S29" s="37">
        <f>E29*discount</f>
        <v/>
      </c>
      <c r="T29" s="38">
        <f>S29*R29</f>
        <v/>
      </c>
      <c r="U29" s="38">
        <f>(battery/range_nm)*D29*O29*VLOOKUP(B29,country_opex,3,FALSE)</f>
        <v/>
      </c>
      <c r="V29" s="38">
        <f>VLOOKUP(B29,country_opex,2,FALSE)*crew_factor</f>
        <v/>
      </c>
      <c r="W29" s="38">
        <f>VLOOKUP(B29,country_opex,5,FALSE)</f>
        <v/>
      </c>
      <c r="X29" s="38">
        <f>maint</f>
        <v/>
      </c>
      <c r="Y29" s="38">
        <f>VLOOKUP(B29,country_opex,7,FALSE)*ins_pct</f>
        <v/>
      </c>
      <c r="Z29" s="38">
        <f>charge_berth</f>
        <v/>
      </c>
      <c r="AA29" s="38">
        <f>U29+V29+W29+X29+Y29+Z29</f>
        <v/>
      </c>
      <c r="AB29" s="38">
        <f>VLOOKUP(B29,country_opex,7,FALSE)/dep_years</f>
        <v/>
      </c>
      <c r="AC29" s="38">
        <f>T29-AA29</f>
        <v/>
      </c>
      <c r="AD29" s="35">
        <f>IF(T29=0,"",AC29/T29)</f>
        <v/>
      </c>
      <c r="AE29" s="36">
        <f>IF(AC29&lt;=0,"",VLOOKUP(B29,country_opex,7,FALSE)/AC29)</f>
        <v/>
      </c>
      <c r="AF29" s="33">
        <f>((D29*O29/diesel_nmpg)*diesel_co2pg-(battery/range_nm)*D29*O29*VLOOKUP(B29,country_opex,4,FALSE))/1000</f>
        <v/>
      </c>
      <c r="AG29" s="31" t="n"/>
      <c r="AH29" s="32" t="n"/>
      <c r="AI29" s="32" t="n"/>
      <c r="AJ29" s="39" t="n">
        <v>0.1</v>
      </c>
      <c r="AK29" s="34">
        <f>IF(AG29="","",AG29*AJ29)</f>
        <v/>
      </c>
      <c r="AL29" s="34">
        <f>IF(OR(AG29="",R29=0),"",MIN(IF(AS29="",9.9E+99,AS29),FLOOR(AK29/R29,1)))</f>
        <v/>
      </c>
      <c r="AM29" s="38">
        <f>IF(AL29="","",AL29*T29)</f>
        <v/>
      </c>
      <c r="AN29" s="36">
        <f>IF(OR(AG29="",R29=0),"",MIN(IF(AS29="",9.9E+99,AS29),AK29/R29))</f>
        <v/>
      </c>
      <c r="AO29" s="38">
        <f>IF(AN29="","",AN29*T29)</f>
        <v/>
      </c>
      <c r="AP29" s="40" t="n"/>
      <c r="AQ29" s="41" t="n"/>
      <c r="AR29" s="41" t="n"/>
      <c r="AS29" s="42" t="n"/>
      <c r="AT29" s="43">
        <f>IF(((S29*pax_cap*load_thin*ROUND(K29*L29*revleg_thin,0))-(((battery/range_nm)*D29*ROUND(K29*L29*revleg_thin,0)*VLOOKUP(B29,country_opex,3,FALSE))+V29+W29+X29+Y29+Z29))&lt;=0,"",VLOOKUP(B29,country_opex,7,FALSE)/((S29*pax_cap*load_thin*ROUND(K29*L29*revleg_thin,0))-(((battery/range_nm)*D29*ROUND(K29*L29*revleg_thin,0)*VLOOKUP(B29,country_opex,3,FALSE))+V29+W29+X29+Y29+Z29)))</f>
        <v/>
      </c>
      <c r="AU29" s="43">
        <f>IF(((S29*pax_cap*load_mid*ROUND(K29*L29*revleg_mid,0))-(((battery/range_nm)*D29*ROUND(K29*L29*revleg_mid,0)*VLOOKUP(B29,country_opex,3,FALSE))+V29+W29+X29+Y29+Z29))&lt;=0,"",VLOOKUP(B29,country_opex,7,FALSE)/((S29*pax_cap*load_mid*ROUND(K29*L29*revleg_mid,0))-(((battery/range_nm)*D29*ROUND(K29*L29*revleg_mid,0)*VLOOKUP(B29,country_opex,3,FALSE))+V29+W29+X29+Y29+Z29)))</f>
        <v/>
      </c>
      <c r="AV29" s="43">
        <f>IF(((S29*pax_cap*load_full*ROUND(K29*L29*revleg_full,0))-(((battery/range_nm)*D29*ROUND(K29*L29*revleg_full,0)*VLOOKUP(B29,country_opex,3,FALSE))+V29+W29+X29+Y29+Z29))&lt;=0,"",VLOOKUP(B29,country_opex,7,FALSE)/((S29*pax_cap*load_full*ROUND(K29*L29*revleg_full,0))-(((battery/range_nm)*D29*ROUND(K29*L29*revleg_full,0)*VLOOKUP(B29,country_opex,3,FALSE))+V29+W29+X29+Y29+Z29)))</f>
        <v/>
      </c>
      <c r="AW29" s="44" t="inlineStr">
        <is>
          <t>[LB-255 PREMIUM RE-FARE: subsidized comparable $5.1 lifted to premium on-demand floor $18.0] PREMIUM tier = Nile Taxi premium speedboat seat ~250 EGP (~$5.1); range 100-300 EGP/pax (Memphis Tours; US News ~200 EGP ~$4/pax). Private hire ~$110 charter recorded as charter context only.</t>
        </is>
      </c>
      <c r="AX29" s="44" t="n"/>
    </row>
    <row r="30">
      <c r="A30" s="29" t="inlineStr">
        <is>
          <t>Bolt Egypt</t>
        </is>
      </c>
      <c r="B30" s="29" t="inlineStr">
        <is>
          <t>Egypt</t>
        </is>
      </c>
      <c r="C30" s="30" t="inlineStr">
        <is>
          <t>Hurghada → Giftun Island (Orange Bay / Mahmya)</t>
        </is>
      </c>
      <c r="D30" s="31" t="n">
        <v>9</v>
      </c>
      <c r="E30" s="26" t="n">
        <v>32</v>
      </c>
      <c r="F30" s="32" t="inlineStr">
        <is>
          <t>T2</t>
        </is>
      </c>
      <c r="G30" s="32" t="inlineStr">
        <is>
          <t>med</t>
        </is>
      </c>
      <c r="H30" s="19" t="n">
        <v>1</v>
      </c>
      <c r="I30" s="33">
        <f>60*D30/cruise_kt</f>
        <v/>
      </c>
      <c r="J30" s="33">
        <f>I30+turn_min+dwell_min</f>
        <v/>
      </c>
      <c r="K30" s="34">
        <f>MIN(10,FLOOR(60*service_hr/J30,1))</f>
        <v/>
      </c>
      <c r="L30" s="34">
        <f>ROUND(365*mech_uptime*H30,0)</f>
        <v/>
      </c>
      <c r="M30" s="35">
        <f>mech_uptime</f>
        <v/>
      </c>
      <c r="N30" s="35">
        <f>revleg_sel</f>
        <v/>
      </c>
      <c r="O30" s="34">
        <f>ROUND(K30*L30*revleg_sel,0)</f>
        <v/>
      </c>
      <c r="P30" s="36">
        <f>load_sel</f>
        <v/>
      </c>
      <c r="Q30" s="36">
        <f>pax_cap*P30</f>
        <v/>
      </c>
      <c r="R30" s="34">
        <f>Q30*O30</f>
        <v/>
      </c>
      <c r="S30" s="37">
        <f>E30*discount</f>
        <v/>
      </c>
      <c r="T30" s="38">
        <f>S30*R30</f>
        <v/>
      </c>
      <c r="U30" s="38">
        <f>(battery/range_nm)*D30*O30*VLOOKUP(B30,country_opex,3,FALSE)</f>
        <v/>
      </c>
      <c r="V30" s="38">
        <f>VLOOKUP(B30,country_opex,2,FALSE)*crew_factor</f>
        <v/>
      </c>
      <c r="W30" s="38">
        <f>VLOOKUP(B30,country_opex,5,FALSE)</f>
        <v/>
      </c>
      <c r="X30" s="38">
        <f>maint</f>
        <v/>
      </c>
      <c r="Y30" s="38">
        <f>VLOOKUP(B30,country_opex,7,FALSE)*ins_pct</f>
        <v/>
      </c>
      <c r="Z30" s="38">
        <f>charge_berth</f>
        <v/>
      </c>
      <c r="AA30" s="38">
        <f>U30+V30+W30+X30+Y30+Z30</f>
        <v/>
      </c>
      <c r="AB30" s="38">
        <f>VLOOKUP(B30,country_opex,7,FALSE)/dep_years</f>
        <v/>
      </c>
      <c r="AC30" s="38">
        <f>T30-AA30</f>
        <v/>
      </c>
      <c r="AD30" s="35">
        <f>IF(T30=0,"",AC30/T30)</f>
        <v/>
      </c>
      <c r="AE30" s="36">
        <f>IF(AC30&lt;=0,"",VLOOKUP(B30,country_opex,7,FALSE)/AC30)</f>
        <v/>
      </c>
      <c r="AF30" s="33">
        <f>((D30*O30/diesel_nmpg)*diesel_co2pg-(battery/range_nm)*D30*O30*VLOOKUP(B30,country_opex,4,FALSE))/1000</f>
        <v/>
      </c>
      <c r="AG30" s="31" t="n">
        <v>1204586</v>
      </c>
      <c r="AH30" s="32" t="n"/>
      <c r="AI30" s="32" t="n"/>
      <c r="AJ30" s="39" t="n">
        <v>0.1</v>
      </c>
      <c r="AK30" s="34">
        <f>IF(AG30="","",AG30*AJ30)</f>
        <v/>
      </c>
      <c r="AL30" s="34">
        <f>IF(OR(AG30="",R30=0),"",MIN(IF(AS30="",9.9E+99,AS30),FLOOR(AK30/R30,1)))</f>
        <v/>
      </c>
      <c r="AM30" s="38">
        <f>IF(AL30="","",AL30*T30)</f>
        <v/>
      </c>
      <c r="AN30" s="36">
        <f>IF(OR(AG30="",R30=0),"",MIN(IF(AS30="",9.9E+99,AS30),AK30/R30))</f>
        <v/>
      </c>
      <c r="AO30" s="38">
        <f>IF(AN30="","",AN30*T30)</f>
        <v/>
      </c>
      <c r="AP30" s="40" t="n"/>
      <c r="AQ30" s="41" t="n"/>
      <c r="AR30" s="41" t="n"/>
      <c r="AS30" s="42" t="n"/>
      <c r="AT30" s="43">
        <f>IF(((S30*pax_cap*load_thin*ROUND(K30*L30*revleg_thin,0))-(((battery/range_nm)*D30*ROUND(K30*L30*revleg_thin,0)*VLOOKUP(B30,country_opex,3,FALSE))+V30+W30+X30+Y30+Z30))&lt;=0,"",VLOOKUP(B30,country_opex,7,FALSE)/((S30*pax_cap*load_thin*ROUND(K30*L30*revleg_thin,0))-(((battery/range_nm)*D30*ROUND(K30*L30*revleg_thin,0)*VLOOKUP(B30,country_opex,3,FALSE))+V30+W30+X30+Y30+Z30)))</f>
        <v/>
      </c>
      <c r="AU30" s="43">
        <f>IF(((S30*pax_cap*load_mid*ROUND(K30*L30*revleg_mid,0))-(((battery/range_nm)*D30*ROUND(K30*L30*revleg_mid,0)*VLOOKUP(B30,country_opex,3,FALSE))+V30+W30+X30+Y30+Z30))&lt;=0,"",VLOOKUP(B30,country_opex,7,FALSE)/((S30*pax_cap*load_mid*ROUND(K30*L30*revleg_mid,0))-(((battery/range_nm)*D30*ROUND(K30*L30*revleg_mid,0)*VLOOKUP(B30,country_opex,3,FALSE))+V30+W30+X30+Y30+Z30)))</f>
        <v/>
      </c>
      <c r="AV30" s="43">
        <f>IF(((S30*pax_cap*load_full*ROUND(K30*L30*revleg_full,0))-(((battery/range_nm)*D30*ROUND(K30*L30*revleg_full,0)*VLOOKUP(B30,country_opex,3,FALSE))+V30+W30+X30+Y30+Z30))&lt;=0,"",VLOOKUP(B30,country_opex,7,FALSE)/((S30*pax_cap*load_full*ROUND(K30*L30*revleg_full,0))-(((battery/range_nm)*D30*ROUND(K30*L30*revleg_full,0)*VLOOKUP(B30,country_opex,3,FALSE))+V30+W30+X30+Y30+Z30)))</f>
        <v/>
      </c>
      <c r="AW30" s="44" t="inlineStr">
        <is>
          <t>PREMIUM tier = scheduled island day-trip per-seat EUR ~30 (~$32); shared/regular boat day-trips run EUR 15-30/pax (egyptra from EUR 15; GetYourGuide/Marriott activities). Speedboat upgrade priced higher; private Mahmya from $99 recorded as charter context only.</t>
        </is>
      </c>
      <c r="AX30" s="44" t="n"/>
    </row>
    <row r="31">
      <c r="A31" s="29" t="inlineStr">
        <is>
          <t>Bolt Egypt</t>
        </is>
      </c>
      <c r="B31" s="29" t="inlineStr">
        <is>
          <t>Egypt</t>
        </is>
      </c>
      <c r="C31" s="30" t="inlineStr">
        <is>
          <t>Hurghada → Sahl Hasheesh</t>
        </is>
      </c>
      <c r="D31" s="31" t="n">
        <v>10</v>
      </c>
      <c r="E31" s="26" t="n">
        <v>40.8</v>
      </c>
      <c r="F31" s="32" t="inlineStr">
        <is>
          <t>T2</t>
        </is>
      </c>
      <c r="G31" s="32" t="inlineStr">
        <is>
          <t>med</t>
        </is>
      </c>
      <c r="H31" s="19" t="n">
        <v>1</v>
      </c>
      <c r="I31" s="33">
        <f>60*D31/cruise_kt</f>
        <v/>
      </c>
      <c r="J31" s="33">
        <f>I31+turn_min+dwell_min</f>
        <v/>
      </c>
      <c r="K31" s="34">
        <f>MIN(10,FLOOR(60*service_hr/J31,1))</f>
        <v/>
      </c>
      <c r="L31" s="34">
        <f>ROUND(365*mech_uptime*H31,0)</f>
        <v/>
      </c>
      <c r="M31" s="35">
        <f>mech_uptime</f>
        <v/>
      </c>
      <c r="N31" s="35">
        <f>revleg_sel</f>
        <v/>
      </c>
      <c r="O31" s="34">
        <f>ROUND(K31*L31*revleg_sel,0)</f>
        <v/>
      </c>
      <c r="P31" s="36">
        <f>load_sel</f>
        <v/>
      </c>
      <c r="Q31" s="36">
        <f>pax_cap*P31</f>
        <v/>
      </c>
      <c r="R31" s="34">
        <f>Q31*O31</f>
        <v/>
      </c>
      <c r="S31" s="37">
        <f>E31*discount</f>
        <v/>
      </c>
      <c r="T31" s="38">
        <f>S31*R31</f>
        <v/>
      </c>
      <c r="U31" s="38">
        <f>(battery/range_nm)*D31*O31*VLOOKUP(B31,country_opex,3,FALSE)</f>
        <v/>
      </c>
      <c r="V31" s="38">
        <f>VLOOKUP(B31,country_opex,2,FALSE)*crew_factor</f>
        <v/>
      </c>
      <c r="W31" s="38">
        <f>VLOOKUP(B31,country_opex,5,FALSE)</f>
        <v/>
      </c>
      <c r="X31" s="38">
        <f>maint</f>
        <v/>
      </c>
      <c r="Y31" s="38">
        <f>VLOOKUP(B31,country_opex,7,FALSE)*ins_pct</f>
        <v/>
      </c>
      <c r="Z31" s="38">
        <f>charge_berth</f>
        <v/>
      </c>
      <c r="AA31" s="38">
        <f>U31+V31+W31+X31+Y31+Z31</f>
        <v/>
      </c>
      <c r="AB31" s="38">
        <f>VLOOKUP(B31,country_opex,7,FALSE)/dep_years</f>
        <v/>
      </c>
      <c r="AC31" s="38">
        <f>T31-AA31</f>
        <v/>
      </c>
      <c r="AD31" s="35">
        <f>IF(T31=0,"",AC31/T31)</f>
        <v/>
      </c>
      <c r="AE31" s="36">
        <f>IF(AC31&lt;=0,"",VLOOKUP(B31,country_opex,7,FALSE)/AC31)</f>
        <v/>
      </c>
      <c r="AF31" s="33">
        <f>((D31*O31/diesel_nmpg)*diesel_co2pg-(battery/range_nm)*D31*O31*VLOOKUP(B31,country_opex,4,FALSE))/1000</f>
        <v/>
      </c>
      <c r="AG31" s="31" t="n"/>
      <c r="AH31" s="32" t="n"/>
      <c r="AI31" s="32" t="n"/>
      <c r="AJ31" s="39" t="n">
        <v>0.1</v>
      </c>
      <c r="AK31" s="34">
        <f>IF(AG31="","",AG31*AJ31)</f>
        <v/>
      </c>
      <c r="AL31" s="34">
        <f>IF(OR(AG31="",R31=0),"",MIN(IF(AS31="",9.9E+99,AS31),FLOOR(AK31/R31,1)))</f>
        <v/>
      </c>
      <c r="AM31" s="38">
        <f>IF(AL31="","",AL31*T31)</f>
        <v/>
      </c>
      <c r="AN31" s="36">
        <f>IF(OR(AG31="",R31=0),"",MIN(IF(AS31="",9.9E+99,AS31),AK31/R31))</f>
        <v/>
      </c>
      <c r="AO31" s="38">
        <f>IF(AN31="","",AN31*T31)</f>
        <v/>
      </c>
      <c r="AP31" s="40" t="n"/>
      <c r="AQ31" s="41" t="n"/>
      <c r="AR31" s="41" t="n"/>
      <c r="AS31" s="42" t="n"/>
      <c r="AT31" s="43">
        <f>IF(((S31*pax_cap*load_thin*ROUND(K31*L31*revleg_thin,0))-(((battery/range_nm)*D31*ROUND(K31*L31*revleg_thin,0)*VLOOKUP(B31,country_opex,3,FALSE))+V31+W31+X31+Y31+Z31))&lt;=0,"",VLOOKUP(B31,country_opex,7,FALSE)/((S31*pax_cap*load_thin*ROUND(K31*L31*revleg_thin,0))-(((battery/range_nm)*D31*ROUND(K31*L31*revleg_thin,0)*VLOOKUP(B31,country_opex,3,FALSE))+V31+W31+X31+Y31+Z31)))</f>
        <v/>
      </c>
      <c r="AU31" s="43">
        <f>IF(((S31*pax_cap*load_mid*ROUND(K31*L31*revleg_mid,0))-(((battery/range_nm)*D31*ROUND(K31*L31*revleg_mid,0)*VLOOKUP(B31,country_opex,3,FALSE))+V31+W31+X31+Y31+Z31))&lt;=0,"",VLOOKUP(B31,country_opex,7,FALSE)/((S31*pax_cap*load_mid*ROUND(K31*L31*revleg_mid,0))-(((battery/range_nm)*D31*ROUND(K31*L31*revleg_mid,0)*VLOOKUP(B31,country_opex,3,FALSE))+V31+W31+X31+Y31+Z31)))</f>
        <v/>
      </c>
      <c r="AV31" s="43">
        <f>IF(((S31*pax_cap*load_full*ROUND(K31*L31*revleg_full,0))-(((battery/range_nm)*D31*ROUND(K31*L31*revleg_full,0)*VLOOKUP(B31,country_opex,3,FALSE))+V31+W31+X31+Y31+Z31))&lt;=0,"",VLOOKUP(B31,country_opex,7,FALSE)/((S31*pax_cap*load_full*ROUND(K31*L31*revleg_full,0))-(((battery/range_nm)*D31*ROUND(K31*L31*revleg_full,0)*VLOOKUP(B31,country_opex,3,FALSE))+V31+W31+X31+Y31+Z31)))</f>
        <v/>
      </c>
      <c r="AW31" s="44" t="inlineStr">
        <is>
          <t>PREMIUM tier proxy = Dubai RTA convention $40.8/seat (same premium resort-transfer tier as El Gouna). No Egypt-native scheduled water-taxi fare on this leg published.</t>
        </is>
      </c>
      <c r="AX31" s="44" t="n"/>
    </row>
    <row r="32">
      <c r="A32" s="29" t="inlineStr">
        <is>
          <t>Bolt Egypt</t>
        </is>
      </c>
      <c r="B32" s="29" t="inlineStr">
        <is>
          <t>Egypt</t>
        </is>
      </c>
      <c r="C32" s="30" t="inlineStr">
        <is>
          <t>Greater Cairo - Maspero (Downtown) → Greater Cairo - Warraq / El Qanater</t>
        </is>
      </c>
      <c r="D32" s="31" t="n">
        <v>13</v>
      </c>
      <c r="E32" s="26" t="n">
        <v>18</v>
      </c>
      <c r="F32" s="32" t="inlineStr">
        <is>
          <t>T2</t>
        </is>
      </c>
      <c r="G32" s="32" t="inlineStr">
        <is>
          <t>med</t>
        </is>
      </c>
      <c r="H32" s="19" t="n">
        <v>1</v>
      </c>
      <c r="I32" s="33">
        <f>60*D32/cruise_kt</f>
        <v/>
      </c>
      <c r="J32" s="33">
        <f>I32+turn_min+dwell_min</f>
        <v/>
      </c>
      <c r="K32" s="34">
        <f>MIN(16,FLOOR(60*service_hr/J32,1))</f>
        <v/>
      </c>
      <c r="L32" s="34">
        <f>ROUND(365*mech_uptime*H32,0)</f>
        <v/>
      </c>
      <c r="M32" s="35">
        <f>mech_uptime</f>
        <v/>
      </c>
      <c r="N32" s="35">
        <f>revleg_sel</f>
        <v/>
      </c>
      <c r="O32" s="34">
        <f>ROUND(K32*L32*revleg_sel,0)</f>
        <v/>
      </c>
      <c r="P32" s="36">
        <f>load_sel</f>
        <v/>
      </c>
      <c r="Q32" s="36">
        <f>pax_cap*P32</f>
        <v/>
      </c>
      <c r="R32" s="34">
        <f>Q32*O32</f>
        <v/>
      </c>
      <c r="S32" s="37">
        <f>E32*discount</f>
        <v/>
      </c>
      <c r="T32" s="38">
        <f>S32*R32</f>
        <v/>
      </c>
      <c r="U32" s="38">
        <f>(battery/range_nm)*D32*O32*VLOOKUP(B32,country_opex,3,FALSE)</f>
        <v/>
      </c>
      <c r="V32" s="38">
        <f>VLOOKUP(B32,country_opex,2,FALSE)*crew_factor</f>
        <v/>
      </c>
      <c r="W32" s="38">
        <f>VLOOKUP(B32,country_opex,5,FALSE)</f>
        <v/>
      </c>
      <c r="X32" s="38">
        <f>maint</f>
        <v/>
      </c>
      <c r="Y32" s="38">
        <f>VLOOKUP(B32,country_opex,7,FALSE)*ins_pct</f>
        <v/>
      </c>
      <c r="Z32" s="38">
        <f>charge_berth</f>
        <v/>
      </c>
      <c r="AA32" s="38">
        <f>U32+V32+W32+X32+Y32+Z32</f>
        <v/>
      </c>
      <c r="AB32" s="38">
        <f>VLOOKUP(B32,country_opex,7,FALSE)/dep_years</f>
        <v/>
      </c>
      <c r="AC32" s="38">
        <f>T32-AA32</f>
        <v/>
      </c>
      <c r="AD32" s="35">
        <f>IF(T32=0,"",AC32/T32)</f>
        <v/>
      </c>
      <c r="AE32" s="36">
        <f>IF(AC32&lt;=0,"",VLOOKUP(B32,country_opex,7,FALSE)/AC32)</f>
        <v/>
      </c>
      <c r="AF32" s="33">
        <f>((D32*O32/diesel_nmpg)*diesel_co2pg-(battery/range_nm)*D32*O32*VLOOKUP(B32,country_opex,4,FALSE))/1000</f>
        <v/>
      </c>
      <c r="AG32" s="31" t="n"/>
      <c r="AH32" s="32" t="n"/>
      <c r="AI32" s="32" t="n"/>
      <c r="AJ32" s="39" t="n">
        <v>0.1</v>
      </c>
      <c r="AK32" s="34">
        <f>IF(AG32="","",AG32*AJ32)</f>
        <v/>
      </c>
      <c r="AL32" s="34">
        <f>IF(OR(AG32="",R32=0),"",MIN(IF(AS32="",9.9E+99,AS32),FLOOR(AK32/R32,1)))</f>
        <v/>
      </c>
      <c r="AM32" s="38">
        <f>IF(AL32="","",AL32*T32)</f>
        <v/>
      </c>
      <c r="AN32" s="36">
        <f>IF(OR(AG32="",R32=0),"",MIN(IF(AS32="",9.9E+99,AS32),AK32/R32))</f>
        <v/>
      </c>
      <c r="AO32" s="38">
        <f>IF(AN32="","",AN32*T32)</f>
        <v/>
      </c>
      <c r="AP32" s="40" t="n"/>
      <c r="AQ32" s="41" t="n"/>
      <c r="AR32" s="41" t="n"/>
      <c r="AS32" s="42" t="n"/>
      <c r="AT32" s="43">
        <f>IF(((S32*pax_cap*load_thin*ROUND(K32*L32*revleg_thin,0))-(((battery/range_nm)*D32*ROUND(K32*L32*revleg_thin,0)*VLOOKUP(B32,country_opex,3,FALSE))+V32+W32+X32+Y32+Z32))&lt;=0,"",VLOOKUP(B32,country_opex,7,FALSE)/((S32*pax_cap*load_thin*ROUND(K32*L32*revleg_thin,0))-(((battery/range_nm)*D32*ROUND(K32*L32*revleg_thin,0)*VLOOKUP(B32,country_opex,3,FALSE))+V32+W32+X32+Y32+Z32)))</f>
        <v/>
      </c>
      <c r="AU32" s="43">
        <f>IF(((S32*pax_cap*load_mid*ROUND(K32*L32*revleg_mid,0))-(((battery/range_nm)*D32*ROUND(K32*L32*revleg_mid,0)*VLOOKUP(B32,country_opex,3,FALSE))+V32+W32+X32+Y32+Z32))&lt;=0,"",VLOOKUP(B32,country_opex,7,FALSE)/((S32*pax_cap*load_mid*ROUND(K32*L32*revleg_mid,0))-(((battery/range_nm)*D32*ROUND(K32*L32*revleg_mid,0)*VLOOKUP(B32,country_opex,3,FALSE))+V32+W32+X32+Y32+Z32)))</f>
        <v/>
      </c>
      <c r="AV32" s="43">
        <f>IF(((S32*pax_cap*load_full*ROUND(K32*L32*revleg_full,0))-(((battery/range_nm)*D32*ROUND(K32*L32*revleg_full,0)*VLOOKUP(B32,country_opex,3,FALSE))+V32+W32+X32+Y32+Z32))&lt;=0,"",VLOOKUP(B32,country_opex,7,FALSE)/((S32*pax_cap*load_full*ROUND(K32*L32*revleg_full,0))-(((battery/range_nm)*D32*ROUND(K32*L32*revleg_full,0)*VLOOKUP(B32,country_opex,3,FALSE))+V32+W32+X32+Y32+Z32)))</f>
        <v/>
      </c>
      <c r="AW32" s="44" t="inlineStr">
        <is>
          <t>[LB-255 PREMIUM RE-FARE: subsidized comparable $0.2 lifted to premium on-demand floor $18.0] Public river-bus fare ~5-10 EGP (~$0.10-0.20) - the COMMUTER FLOOR, not a premium tier. Recorded as ladder context; Navier would model a premium speedboat tier on this O-D closer to the Nile Taxi ~$5 level if served.</t>
        </is>
      </c>
      <c r="AX32" s="44" t="n"/>
    </row>
    <row r="33">
      <c r="A33" s="29" t="inlineStr">
        <is>
          <t>Bolt Egypt</t>
        </is>
      </c>
      <c r="B33" s="29" t="inlineStr">
        <is>
          <t>Egypt</t>
        </is>
      </c>
      <c r="C33" s="30" t="inlineStr">
        <is>
          <t>Hurghada → El Gouna</t>
        </is>
      </c>
      <c r="D33" s="31" t="n">
        <v>14</v>
      </c>
      <c r="E33" s="26" t="n">
        <v>40.8</v>
      </c>
      <c r="F33" s="32" t="inlineStr">
        <is>
          <t>T2</t>
        </is>
      </c>
      <c r="G33" s="32" t="inlineStr">
        <is>
          <t>med</t>
        </is>
      </c>
      <c r="H33" s="19" t="n">
        <v>1</v>
      </c>
      <c r="I33" s="33">
        <f>60*D33/cruise_kt</f>
        <v/>
      </c>
      <c r="J33" s="33">
        <f>I33+turn_min+dwell_min</f>
        <v/>
      </c>
      <c r="K33" s="34">
        <f>MIN(10,FLOOR(60*service_hr/J33,1))</f>
        <v/>
      </c>
      <c r="L33" s="34">
        <f>ROUND(365*mech_uptime*H33,0)</f>
        <v/>
      </c>
      <c r="M33" s="35">
        <f>mech_uptime</f>
        <v/>
      </c>
      <c r="N33" s="35">
        <f>revleg_sel</f>
        <v/>
      </c>
      <c r="O33" s="34">
        <f>ROUND(K33*L33*revleg_sel,0)</f>
        <v/>
      </c>
      <c r="P33" s="36">
        <f>load_sel</f>
        <v/>
      </c>
      <c r="Q33" s="36">
        <f>pax_cap*P33</f>
        <v/>
      </c>
      <c r="R33" s="34">
        <f>Q33*O33</f>
        <v/>
      </c>
      <c r="S33" s="37">
        <f>E33*discount</f>
        <v/>
      </c>
      <c r="T33" s="38">
        <f>S33*R33</f>
        <v/>
      </c>
      <c r="U33" s="38">
        <f>(battery/range_nm)*D33*O33*VLOOKUP(B33,country_opex,3,FALSE)</f>
        <v/>
      </c>
      <c r="V33" s="38">
        <f>VLOOKUP(B33,country_opex,2,FALSE)*crew_factor</f>
        <v/>
      </c>
      <c r="W33" s="38">
        <f>VLOOKUP(B33,country_opex,5,FALSE)</f>
        <v/>
      </c>
      <c r="X33" s="38">
        <f>maint</f>
        <v/>
      </c>
      <c r="Y33" s="38">
        <f>VLOOKUP(B33,country_opex,7,FALSE)*ins_pct</f>
        <v/>
      </c>
      <c r="Z33" s="38">
        <f>charge_berth</f>
        <v/>
      </c>
      <c r="AA33" s="38">
        <f>U33+V33+W33+X33+Y33+Z33</f>
        <v/>
      </c>
      <c r="AB33" s="38">
        <f>VLOOKUP(B33,country_opex,7,FALSE)/dep_years</f>
        <v/>
      </c>
      <c r="AC33" s="38">
        <f>T33-AA33</f>
        <v/>
      </c>
      <c r="AD33" s="35">
        <f>IF(T33=0,"",AC33/T33)</f>
        <v/>
      </c>
      <c r="AE33" s="36">
        <f>IF(AC33&lt;=0,"",VLOOKUP(B33,country_opex,7,FALSE)/AC33)</f>
        <v/>
      </c>
      <c r="AF33" s="33">
        <f>((D33*O33/diesel_nmpg)*diesel_co2pg-(battery/range_nm)*D33*O33*VLOOKUP(B33,country_opex,4,FALSE))/1000</f>
        <v/>
      </c>
      <c r="AG33" s="31" t="n">
        <v>10402</v>
      </c>
      <c r="AH33" s="32" t="n"/>
      <c r="AI33" s="32" t="n"/>
      <c r="AJ33" s="39" t="n">
        <v>0.1</v>
      </c>
      <c r="AK33" s="34">
        <f>IF(AG33="","",AG33*AJ33)</f>
        <v/>
      </c>
      <c r="AL33" s="34">
        <f>IF(OR(AG33="",R33=0),"",MIN(IF(AS33="",9.9E+99,AS33),FLOOR(AK33/R33,1)))</f>
        <v/>
      </c>
      <c r="AM33" s="38">
        <f>IF(AL33="","",AL33*T33)</f>
        <v/>
      </c>
      <c r="AN33" s="36">
        <f>IF(OR(AG33="",R33=0),"",MIN(IF(AS33="",9.9E+99,AS33),AK33/R33))</f>
        <v/>
      </c>
      <c r="AO33" s="38">
        <f>IF(AN33="","",AN33*T33)</f>
        <v/>
      </c>
      <c r="AP33" s="40" t="n"/>
      <c r="AQ33" s="41" t="n"/>
      <c r="AR33" s="41" t="inlineStr">
        <is>
          <t>modal_shift_greenfield</t>
        </is>
      </c>
      <c r="AS33" s="42" t="n"/>
      <c r="AT33" s="43">
        <f>IF(((S33*pax_cap*load_thin*ROUND(K33*L33*revleg_thin,0))-(((battery/range_nm)*D33*ROUND(K33*L33*revleg_thin,0)*VLOOKUP(B33,country_opex,3,FALSE))+V33+W33+X33+Y33+Z33))&lt;=0,"",VLOOKUP(B33,country_opex,7,FALSE)/((S33*pax_cap*load_thin*ROUND(K33*L33*revleg_thin,0))-(((battery/range_nm)*D33*ROUND(K33*L33*revleg_thin,0)*VLOOKUP(B33,country_opex,3,FALSE))+V33+W33+X33+Y33+Z33)))</f>
        <v/>
      </c>
      <c r="AU33" s="43">
        <f>IF(((S33*pax_cap*load_mid*ROUND(K33*L33*revleg_mid,0))-(((battery/range_nm)*D33*ROUND(K33*L33*revleg_mid,0)*VLOOKUP(B33,country_opex,3,FALSE))+V33+W33+X33+Y33+Z33))&lt;=0,"",VLOOKUP(B33,country_opex,7,FALSE)/((S33*pax_cap*load_mid*ROUND(K33*L33*revleg_mid,0))-(((battery/range_nm)*D33*ROUND(K33*L33*revleg_mid,0)*VLOOKUP(B33,country_opex,3,FALSE))+V33+W33+X33+Y33+Z33)))</f>
        <v/>
      </c>
      <c r="AV33" s="43">
        <f>IF(((S33*pax_cap*load_full*ROUND(K33*L33*revleg_full,0))-(((battery/range_nm)*D33*ROUND(K33*L33*revleg_full,0)*VLOOKUP(B33,country_opex,3,FALSE))+V33+W33+X33+Y33+Z33))&lt;=0,"",VLOOKUP(B33,country_opex,7,FALSE)/((S33*pax_cap*load_full*ROUND(K33*L33*revleg_full,0))-(((battery/range_nm)*D33*ROUND(K33*L33*revleg_full,0)*VLOOKUP(B33,country_opex,3,FALSE))+V33+W33+X33+Y33+Z33)))</f>
        <v/>
      </c>
      <c r="AW33" s="44" t="inlineStr">
        <is>
          <t>Kept from prior registry = Dubai RTA premium water-taxi convention $40.8/seat (placeholder premium tier; no Egypt-native scheduled Hurghada&lt;-&gt;El Gouna water-taxi fare published - current link is private transfer/taxi by road). FLAG: convention placeholder, not an Egypt-sourced marine fare.</t>
        </is>
      </c>
      <c r="AX33" s="44" t="n"/>
    </row>
    <row r="34">
      <c r="A34" s="29" t="inlineStr">
        <is>
          <t>Bolt Egypt</t>
        </is>
      </c>
      <c r="B34" s="29" t="inlineStr">
        <is>
          <t>Egypt</t>
        </is>
      </c>
      <c r="C34" s="30" t="inlineStr">
        <is>
          <t>Sharm El Sheikh → Ras Mohammed / Tiran reefs</t>
        </is>
      </c>
      <c r="D34" s="31" t="n">
        <v>16</v>
      </c>
      <c r="E34" s="26" t="n">
        <v>50</v>
      </c>
      <c r="F34" s="32" t="inlineStr">
        <is>
          <t>T2</t>
        </is>
      </c>
      <c r="G34" s="32" t="inlineStr">
        <is>
          <t>med</t>
        </is>
      </c>
      <c r="H34" s="19" t="n">
        <v>1</v>
      </c>
      <c r="I34" s="33">
        <f>60*D34/cruise_kt</f>
        <v/>
      </c>
      <c r="J34" s="33">
        <f>I34+turn_min+dwell_min</f>
        <v/>
      </c>
      <c r="K34" s="34">
        <f>MIN(10,FLOOR(60*service_hr/J34,1))</f>
        <v/>
      </c>
      <c r="L34" s="34">
        <f>ROUND(365*mech_uptime*H34,0)</f>
        <v/>
      </c>
      <c r="M34" s="35">
        <f>mech_uptime</f>
        <v/>
      </c>
      <c r="N34" s="35">
        <f>revleg_sel</f>
        <v/>
      </c>
      <c r="O34" s="34">
        <f>ROUND(K34*L34*revleg_sel,0)</f>
        <v/>
      </c>
      <c r="P34" s="36">
        <f>load_sel</f>
        <v/>
      </c>
      <c r="Q34" s="36">
        <f>pax_cap*P34</f>
        <v/>
      </c>
      <c r="R34" s="34">
        <f>Q34*O34</f>
        <v/>
      </c>
      <c r="S34" s="37">
        <f>E34*discount</f>
        <v/>
      </c>
      <c r="T34" s="38">
        <f>S34*R34</f>
        <v/>
      </c>
      <c r="U34" s="38">
        <f>(battery/range_nm)*D34*O34*VLOOKUP(B34,country_opex,3,FALSE)</f>
        <v/>
      </c>
      <c r="V34" s="38">
        <f>VLOOKUP(B34,country_opex,2,FALSE)*crew_factor</f>
        <v/>
      </c>
      <c r="W34" s="38">
        <f>VLOOKUP(B34,country_opex,5,FALSE)</f>
        <v/>
      </c>
      <c r="X34" s="38">
        <f>maint</f>
        <v/>
      </c>
      <c r="Y34" s="38">
        <f>VLOOKUP(B34,country_opex,7,FALSE)*ins_pct</f>
        <v/>
      </c>
      <c r="Z34" s="38">
        <f>charge_berth</f>
        <v/>
      </c>
      <c r="AA34" s="38">
        <f>U34+V34+W34+X34+Y34+Z34</f>
        <v/>
      </c>
      <c r="AB34" s="38">
        <f>VLOOKUP(B34,country_opex,7,FALSE)/dep_years</f>
        <v/>
      </c>
      <c r="AC34" s="38">
        <f>T34-AA34</f>
        <v/>
      </c>
      <c r="AD34" s="35">
        <f>IF(T34=0,"",AC34/T34)</f>
        <v/>
      </c>
      <c r="AE34" s="36">
        <f>IF(AC34&lt;=0,"",VLOOKUP(B34,country_opex,7,FALSE)/AC34)</f>
        <v/>
      </c>
      <c r="AF34" s="33">
        <f>((D34*O34/diesel_nmpg)*diesel_co2pg-(battery/range_nm)*D34*O34*VLOOKUP(B34,country_opex,4,FALSE))/1000</f>
        <v/>
      </c>
      <c r="AG34" s="31" t="n">
        <v>50000</v>
      </c>
      <c r="AH34" s="32" t="n"/>
      <c r="AI34" s="32" t="n"/>
      <c r="AJ34" s="39" t="n">
        <v>0.1</v>
      </c>
      <c r="AK34" s="34">
        <f>IF(AG34="","",AG34*AJ34)</f>
        <v/>
      </c>
      <c r="AL34" s="34">
        <f>IF(OR(AG34="",R34=0),"",MIN(IF(AS34="",9.9E+99,AS34),FLOOR(AK34/R34,1)))</f>
        <v/>
      </c>
      <c r="AM34" s="38">
        <f>IF(AL34="","",AL34*T34)</f>
        <v/>
      </c>
      <c r="AN34" s="36">
        <f>IF(OR(AG34="",R34=0),"",MIN(IF(AS34="",9.9E+99,AS34),AK34/R34))</f>
        <v/>
      </c>
      <c r="AO34" s="38">
        <f>IF(AN34="","",AN34*T34)</f>
        <v/>
      </c>
      <c r="AP34" s="40" t="n"/>
      <c r="AQ34" s="41" t="n"/>
      <c r="AR34" s="41" t="n"/>
      <c r="AS34" s="42" t="n"/>
      <c r="AT34" s="43">
        <f>IF(((S34*pax_cap*load_thin*ROUND(K34*L34*revleg_thin,0))-(((battery/range_nm)*D34*ROUND(K34*L34*revleg_thin,0)*VLOOKUP(B34,country_opex,3,FALSE))+V34+W34+X34+Y34+Z34))&lt;=0,"",VLOOKUP(B34,country_opex,7,FALSE)/((S34*pax_cap*load_thin*ROUND(K34*L34*revleg_thin,0))-(((battery/range_nm)*D34*ROUND(K34*L34*revleg_thin,0)*VLOOKUP(B34,country_opex,3,FALSE))+V34+W34+X34+Y34+Z34)))</f>
        <v/>
      </c>
      <c r="AU34" s="43">
        <f>IF(((S34*pax_cap*load_mid*ROUND(K34*L34*revleg_mid,0))-(((battery/range_nm)*D34*ROUND(K34*L34*revleg_mid,0)*VLOOKUP(B34,country_opex,3,FALSE))+V34+W34+X34+Y34+Z34))&lt;=0,"",VLOOKUP(B34,country_opex,7,FALSE)/((S34*pax_cap*load_mid*ROUND(K34*L34*revleg_mid,0))-(((battery/range_nm)*D34*ROUND(K34*L34*revleg_mid,0)*VLOOKUP(B34,country_opex,3,FALSE))+V34+W34+X34+Y34+Z34)))</f>
        <v/>
      </c>
      <c r="AV34" s="43">
        <f>IF(((S34*pax_cap*load_full*ROUND(K34*L34*revleg_full,0))-(((battery/range_nm)*D34*ROUND(K34*L34*revleg_full,0)*VLOOKUP(B34,country_opex,3,FALSE))+V34+W34+X34+Y34+Z34))&lt;=0,"",VLOOKUP(B34,country_opex,7,FALSE)/((S34*pax_cap*load_full*ROUND(K34*L34*revleg_full,0))-(((battery/range_nm)*D34*ROUND(K34*L34*revleg_full,0)*VLOOKUP(B34,country_opex,3,FALSE))+V34+W34+X34+Y34+Z34)))</f>
        <v/>
      </c>
      <c r="AW34" s="44" t="inlineStr">
        <is>
          <t>PREMIUM tier = VIP/premium Ras Mohammed + White Island boat sea-trip ~$52/adult (Tripadvisor VIP boat); standard scheduled boat day-trips from EUR 24 (~$26). Modeled premium tier ~$50.</t>
        </is>
      </c>
      <c r="AX34" s="44" t="n"/>
    </row>
    <row r="35">
      <c r="A35" s="29" t="inlineStr">
        <is>
          <t>Bolt Egypt</t>
        </is>
      </c>
      <c r="B35" s="29" t="inlineStr">
        <is>
          <t>Egypt</t>
        </is>
      </c>
      <c r="C35" s="30" t="inlineStr">
        <is>
          <t>Hurghada → Soma Bay</t>
        </is>
      </c>
      <c r="D35" s="31" t="n">
        <v>25</v>
      </c>
      <c r="E35" s="26" t="n">
        <v>40.8</v>
      </c>
      <c r="F35" s="32" t="inlineStr">
        <is>
          <t>T2</t>
        </is>
      </c>
      <c r="G35" s="32" t="inlineStr">
        <is>
          <t>med</t>
        </is>
      </c>
      <c r="H35" s="19" t="n">
        <v>1</v>
      </c>
      <c r="I35" s="33">
        <f>60*D35/cruise_kt</f>
        <v/>
      </c>
      <c r="J35" s="33">
        <f>I35+turn_min+dwell_min</f>
        <v/>
      </c>
      <c r="K35" s="34">
        <f>MIN(10,FLOOR(60*service_hr/J35,1))</f>
        <v/>
      </c>
      <c r="L35" s="34">
        <f>ROUND(365*mech_uptime*H35,0)</f>
        <v/>
      </c>
      <c r="M35" s="35">
        <f>mech_uptime</f>
        <v/>
      </c>
      <c r="N35" s="35">
        <f>revleg_sel</f>
        <v/>
      </c>
      <c r="O35" s="34">
        <f>ROUND(K35*L35*revleg_sel,0)</f>
        <v/>
      </c>
      <c r="P35" s="36">
        <f>load_sel</f>
        <v/>
      </c>
      <c r="Q35" s="36">
        <f>pax_cap*P35</f>
        <v/>
      </c>
      <c r="R35" s="34">
        <f>Q35*O35</f>
        <v/>
      </c>
      <c r="S35" s="37">
        <f>E35*discount</f>
        <v/>
      </c>
      <c r="T35" s="38">
        <f>S35*R35</f>
        <v/>
      </c>
      <c r="U35" s="38">
        <f>(battery/range_nm)*D35*O35*VLOOKUP(B35,country_opex,3,FALSE)</f>
        <v/>
      </c>
      <c r="V35" s="38">
        <f>VLOOKUP(B35,country_opex,2,FALSE)*crew_factor</f>
        <v/>
      </c>
      <c r="W35" s="38">
        <f>VLOOKUP(B35,country_opex,5,FALSE)</f>
        <v/>
      </c>
      <c r="X35" s="38">
        <f>maint</f>
        <v/>
      </c>
      <c r="Y35" s="38">
        <f>VLOOKUP(B35,country_opex,7,FALSE)*ins_pct</f>
        <v/>
      </c>
      <c r="Z35" s="38">
        <f>charge_berth</f>
        <v/>
      </c>
      <c r="AA35" s="38">
        <f>U35+V35+W35+X35+Y35+Z35</f>
        <v/>
      </c>
      <c r="AB35" s="38">
        <f>VLOOKUP(B35,country_opex,7,FALSE)/dep_years</f>
        <v/>
      </c>
      <c r="AC35" s="38">
        <f>T35-AA35</f>
        <v/>
      </c>
      <c r="AD35" s="35">
        <f>IF(T35=0,"",AC35/T35)</f>
        <v/>
      </c>
      <c r="AE35" s="36">
        <f>IF(AC35&lt;=0,"",VLOOKUP(B35,country_opex,7,FALSE)/AC35)</f>
        <v/>
      </c>
      <c r="AF35" s="33">
        <f>((D35*O35/diesel_nmpg)*diesel_co2pg-(battery/range_nm)*D35*O35*VLOOKUP(B35,country_opex,4,FALSE))/1000</f>
        <v/>
      </c>
      <c r="AG35" s="31" t="n">
        <v>6935</v>
      </c>
      <c r="AH35" s="32" t="n"/>
      <c r="AI35" s="32" t="n"/>
      <c r="AJ35" s="39" t="n">
        <v>0.1</v>
      </c>
      <c r="AK35" s="34">
        <f>IF(AG35="","",AG35*AJ35)</f>
        <v/>
      </c>
      <c r="AL35" s="34">
        <f>IF(OR(AG35="",R35=0),"",MIN(IF(AS35="",9.9E+99,AS35),FLOOR(AK35/R35,1)))</f>
        <v/>
      </c>
      <c r="AM35" s="38">
        <f>IF(AL35="","",AL35*T35)</f>
        <v/>
      </c>
      <c r="AN35" s="36">
        <f>IF(OR(AG35="",R35=0),"",MIN(IF(AS35="",9.9E+99,AS35),AK35/R35))</f>
        <v/>
      </c>
      <c r="AO35" s="38">
        <f>IF(AN35="","",AN35*T35)</f>
        <v/>
      </c>
      <c r="AP35" s="40" t="n"/>
      <c r="AQ35" s="41" t="n"/>
      <c r="AR35" s="41" t="n"/>
      <c r="AS35" s="42" t="n"/>
      <c r="AT35" s="43">
        <f>IF(((S35*pax_cap*load_thin*ROUND(K35*L35*revleg_thin,0))-(((battery/range_nm)*D35*ROUND(K35*L35*revleg_thin,0)*VLOOKUP(B35,country_opex,3,FALSE))+V35+W35+X35+Y35+Z35))&lt;=0,"",VLOOKUP(B35,country_opex,7,FALSE)/((S35*pax_cap*load_thin*ROUND(K35*L35*revleg_thin,0))-(((battery/range_nm)*D35*ROUND(K35*L35*revleg_thin,0)*VLOOKUP(B35,country_opex,3,FALSE))+V35+W35+X35+Y35+Z35)))</f>
        <v/>
      </c>
      <c r="AU35" s="43">
        <f>IF(((S35*pax_cap*load_mid*ROUND(K35*L35*revleg_mid,0))-(((battery/range_nm)*D35*ROUND(K35*L35*revleg_mid,0)*VLOOKUP(B35,country_opex,3,FALSE))+V35+W35+X35+Y35+Z35))&lt;=0,"",VLOOKUP(B35,country_opex,7,FALSE)/((S35*pax_cap*load_mid*ROUND(K35*L35*revleg_mid,0))-(((battery/range_nm)*D35*ROUND(K35*L35*revleg_mid,0)*VLOOKUP(B35,country_opex,3,FALSE))+V35+W35+X35+Y35+Z35)))</f>
        <v/>
      </c>
      <c r="AV35" s="43">
        <f>IF(((S35*pax_cap*load_full*ROUND(K35*L35*revleg_full,0))-(((battery/range_nm)*D35*ROUND(K35*L35*revleg_full,0)*VLOOKUP(B35,country_opex,3,FALSE))+V35+W35+X35+Y35+Z35))&lt;=0,"",VLOOKUP(B35,country_opex,7,FALSE)/((S35*pax_cap*load_full*ROUND(K35*L35*revleg_full,0))-(((battery/range_nm)*D35*ROUND(K35*L35*revleg_full,0)*VLOOKUP(B35,country_opex,3,FALSE))+V35+W35+X35+Y35+Z35)))</f>
        <v/>
      </c>
      <c r="AW35" s="44" t="inlineStr">
        <is>
          <t>PREMIUM tier proxy = Dubai RTA convention $40.8/seat (premium resort-transfer tier). No scheduled Egypt-native marine fare on this leg.</t>
        </is>
      </c>
      <c r="AX35" s="44" t="n"/>
    </row>
    <row r="36">
      <c r="A36" s="29" t="inlineStr">
        <is>
          <t>Bolt Egypt</t>
        </is>
      </c>
      <c r="B36" s="29" t="inlineStr">
        <is>
          <t>Egypt</t>
        </is>
      </c>
      <c r="C36" s="30" t="inlineStr">
        <is>
          <t>Sharm El Sheikh → Dahab</t>
        </is>
      </c>
      <c r="D36" s="31" t="n">
        <v>28</v>
      </c>
      <c r="E36" s="26" t="n">
        <v>15</v>
      </c>
      <c r="F36" s="32" t="inlineStr">
        <is>
          <t>T2</t>
        </is>
      </c>
      <c r="G36" s="32" t="inlineStr">
        <is>
          <t>med</t>
        </is>
      </c>
      <c r="H36" s="19" t="n">
        <v>1</v>
      </c>
      <c r="I36" s="33">
        <f>60*D36/cruise_kt</f>
        <v/>
      </c>
      <c r="J36" s="33">
        <f>I36+turn_min+dwell_min</f>
        <v/>
      </c>
      <c r="K36" s="34">
        <f>MIN(16,FLOOR(60*service_hr/J36,1))</f>
        <v/>
      </c>
      <c r="L36" s="34">
        <f>ROUND(365*mech_uptime*H36,0)</f>
        <v/>
      </c>
      <c r="M36" s="35">
        <f>mech_uptime</f>
        <v/>
      </c>
      <c r="N36" s="35">
        <f>revleg_sel</f>
        <v/>
      </c>
      <c r="O36" s="34">
        <f>ROUND(K36*L36*revleg_sel,0)</f>
        <v/>
      </c>
      <c r="P36" s="36">
        <f>load_sel</f>
        <v/>
      </c>
      <c r="Q36" s="36">
        <f>pax_cap*P36</f>
        <v/>
      </c>
      <c r="R36" s="34">
        <f>Q36*O36</f>
        <v/>
      </c>
      <c r="S36" s="37">
        <f>E36*discount</f>
        <v/>
      </c>
      <c r="T36" s="38">
        <f>S36*R36</f>
        <v/>
      </c>
      <c r="U36" s="38">
        <f>(battery/range_nm)*D36*O36*VLOOKUP(B36,country_opex,3,FALSE)</f>
        <v/>
      </c>
      <c r="V36" s="38">
        <f>VLOOKUP(B36,country_opex,2,FALSE)*crew_factor</f>
        <v/>
      </c>
      <c r="W36" s="38">
        <f>VLOOKUP(B36,country_opex,5,FALSE)</f>
        <v/>
      </c>
      <c r="X36" s="38">
        <f>maint</f>
        <v/>
      </c>
      <c r="Y36" s="38">
        <f>VLOOKUP(B36,country_opex,7,FALSE)*ins_pct</f>
        <v/>
      </c>
      <c r="Z36" s="38">
        <f>charge_berth</f>
        <v/>
      </c>
      <c r="AA36" s="38">
        <f>U36+V36+W36+X36+Y36+Z36</f>
        <v/>
      </c>
      <c r="AB36" s="38">
        <f>VLOOKUP(B36,country_opex,7,FALSE)/dep_years</f>
        <v/>
      </c>
      <c r="AC36" s="38">
        <f>T36-AA36</f>
        <v/>
      </c>
      <c r="AD36" s="35">
        <f>IF(T36=0,"",AC36/T36)</f>
        <v/>
      </c>
      <c r="AE36" s="36">
        <f>IF(AC36&lt;=0,"",VLOOKUP(B36,country_opex,7,FALSE)/AC36)</f>
        <v/>
      </c>
      <c r="AF36" s="33">
        <f>((D36*O36/diesel_nmpg)*diesel_co2pg-(battery/range_nm)*D36*O36*VLOOKUP(B36,country_opex,4,FALSE))/1000</f>
        <v/>
      </c>
      <c r="AG36" s="31" t="n"/>
      <c r="AH36" s="32" t="n"/>
      <c r="AI36" s="32" t="n"/>
      <c r="AJ36" s="39" t="n">
        <v>0.1</v>
      </c>
      <c r="AK36" s="34">
        <f>IF(AG36="","",AG36*AJ36)</f>
        <v/>
      </c>
      <c r="AL36" s="34">
        <f>IF(OR(AG36="",R36=0),"",MIN(IF(AS36="",9.9E+99,AS36),FLOOR(AK36/R36,1)))</f>
        <v/>
      </c>
      <c r="AM36" s="38">
        <f>IF(AL36="","",AL36*T36)</f>
        <v/>
      </c>
      <c r="AN36" s="36">
        <f>IF(OR(AG36="",R36=0),"",MIN(IF(AS36="",9.9E+99,AS36),AK36/R36))</f>
        <v/>
      </c>
      <c r="AO36" s="38">
        <f>IF(AN36="","",AN36*T36)</f>
        <v/>
      </c>
      <c r="AP36" s="40" t="n"/>
      <c r="AQ36" s="41" t="n"/>
      <c r="AR36" s="41" t="n"/>
      <c r="AS36" s="42" t="n"/>
      <c r="AT36" s="43">
        <f>IF(((S36*pax_cap*load_thin*ROUND(K36*L36*revleg_thin,0))-(((battery/range_nm)*D36*ROUND(K36*L36*revleg_thin,0)*VLOOKUP(B36,country_opex,3,FALSE))+V36+W36+X36+Y36+Z36))&lt;=0,"",VLOOKUP(B36,country_opex,7,FALSE)/((S36*pax_cap*load_thin*ROUND(K36*L36*revleg_thin,0))-(((battery/range_nm)*D36*ROUND(K36*L36*revleg_thin,0)*VLOOKUP(B36,country_opex,3,FALSE))+V36+W36+X36+Y36+Z36)))</f>
        <v/>
      </c>
      <c r="AU36" s="43">
        <f>IF(((S36*pax_cap*load_mid*ROUND(K36*L36*revleg_mid,0))-(((battery/range_nm)*D36*ROUND(K36*L36*revleg_mid,0)*VLOOKUP(B36,country_opex,3,FALSE))+V36+W36+X36+Y36+Z36))&lt;=0,"",VLOOKUP(B36,country_opex,7,FALSE)/((S36*pax_cap*load_mid*ROUND(K36*L36*revleg_mid,0))-(((battery/range_nm)*D36*ROUND(K36*L36*revleg_mid,0)*VLOOKUP(B36,country_opex,3,FALSE))+V36+W36+X36+Y36+Z36)))</f>
        <v/>
      </c>
      <c r="AV36" s="43">
        <f>IF(((S36*pax_cap*load_full*ROUND(K36*L36*revleg_full,0))-(((battery/range_nm)*D36*ROUND(K36*L36*revleg_full,0)*VLOOKUP(B36,country_opex,3,FALSE))+V36+W36+X36+Y36+Z36))&lt;=0,"",VLOOKUP(B36,country_opex,7,FALSE)/((S36*pax_cap*load_full*ROUND(K36*L36*revleg_full,0))-(((battery/range_nm)*D36*ROUND(K36*L36*revleg_full,0)*VLOOKUP(B36,country_opex,3,FALSE))+V36+W36+X36+Y36+Z36)))</f>
        <v/>
      </c>
      <c r="AW36" s="44" t="inlineStr">
        <is>
          <t>PREMIUM tier (road analogue) = private transfer Sharm&lt;-&gt;Dahab ~1400-1500 EGP/car (~$29-31) divided ~4 pax (~$7.5/seat) up to premium per-seat ~$15; no scheduled marine fare exists.</t>
        </is>
      </c>
      <c r="AX36" s="44" t="n"/>
    </row>
    <row r="37">
      <c r="A37" s="29" t="inlineStr">
        <is>
          <t>Bolt Egypt</t>
        </is>
      </c>
      <c r="B37" s="29" t="inlineStr">
        <is>
          <t>Egypt</t>
        </is>
      </c>
      <c r="C37" s="30" t="inlineStr">
        <is>
          <t>Hurghada / El Gouna → Sharm El Sheikh</t>
        </is>
      </c>
      <c r="D37" s="31" t="n">
        <v>49.8</v>
      </c>
      <c r="E37" s="26" t="n">
        <v>110</v>
      </c>
      <c r="F37" s="32" t="inlineStr">
        <is>
          <t>T2</t>
        </is>
      </c>
      <c r="G37" s="32" t="inlineStr">
        <is>
          <t>med</t>
        </is>
      </c>
      <c r="H37" s="19" t="n">
        <v>1</v>
      </c>
      <c r="I37" s="33">
        <f>60*D37/cruise_kt</f>
        <v/>
      </c>
      <c r="J37" s="33">
        <f>I37+turn_min+dwell_min</f>
        <v/>
      </c>
      <c r="K37" s="34">
        <f>MIN(10,FLOOR(60*service_hr/J37,1))</f>
        <v/>
      </c>
      <c r="L37" s="34">
        <f>ROUND(365*mech_uptime*H37,0)</f>
        <v/>
      </c>
      <c r="M37" s="35">
        <f>mech_uptime</f>
        <v/>
      </c>
      <c r="N37" s="35">
        <f>revleg_sel</f>
        <v/>
      </c>
      <c r="O37" s="34">
        <f>ROUND(K37*L37*revleg_sel,0)</f>
        <v/>
      </c>
      <c r="P37" s="36">
        <f>load_sel</f>
        <v/>
      </c>
      <c r="Q37" s="36">
        <f>pax_cap*P37</f>
        <v/>
      </c>
      <c r="R37" s="34">
        <f>Q37*O37</f>
        <v/>
      </c>
      <c r="S37" s="37">
        <f>E37*discount</f>
        <v/>
      </c>
      <c r="T37" s="38">
        <f>S37*R37</f>
        <v/>
      </c>
      <c r="U37" s="38">
        <f>(battery/range_nm)*D37*O37*VLOOKUP(B37,country_opex,3,FALSE)</f>
        <v/>
      </c>
      <c r="V37" s="38">
        <f>VLOOKUP(B37,country_opex,2,FALSE)*crew_factor</f>
        <v/>
      </c>
      <c r="W37" s="38">
        <f>VLOOKUP(B37,country_opex,5,FALSE)</f>
        <v/>
      </c>
      <c r="X37" s="38">
        <f>maint</f>
        <v/>
      </c>
      <c r="Y37" s="38">
        <f>VLOOKUP(B37,country_opex,7,FALSE)*ins_pct</f>
        <v/>
      </c>
      <c r="Z37" s="38">
        <f>charge_berth</f>
        <v/>
      </c>
      <c r="AA37" s="38">
        <f>U37+V37+W37+X37+Y37+Z37</f>
        <v/>
      </c>
      <c r="AB37" s="38">
        <f>VLOOKUP(B37,country_opex,7,FALSE)/dep_years</f>
        <v/>
      </c>
      <c r="AC37" s="38">
        <f>T37-AA37</f>
        <v/>
      </c>
      <c r="AD37" s="35">
        <f>IF(T37=0,"",AC37/T37)</f>
        <v/>
      </c>
      <c r="AE37" s="36">
        <f>IF(AC37&lt;=0,"",VLOOKUP(B37,country_opex,7,FALSE)/AC37)</f>
        <v/>
      </c>
      <c r="AF37" s="33">
        <f>((D37*O37/diesel_nmpg)*diesel_co2pg-(battery/range_nm)*D37*O37*VLOOKUP(B37,country_opex,4,FALSE))/1000</f>
        <v/>
      </c>
      <c r="AG37" s="31" t="n"/>
      <c r="AH37" s="32" t="inlineStr">
        <is>
          <t>T5</t>
        </is>
      </c>
      <c r="AI37" s="32" t="inlineStr">
        <is>
          <t>low</t>
        </is>
      </c>
      <c r="AJ37" s="39" t="n">
        <v>0.1</v>
      </c>
      <c r="AK37" s="34">
        <f>IF(AG37="","",AG37*AJ37)</f>
        <v/>
      </c>
      <c r="AL37" s="34">
        <f>IF(OR(AG37="",R37=0),"",MIN(IF(AS37="",9.9E+99,AS37),FLOOR(AK37/R37,1)))</f>
        <v/>
      </c>
      <c r="AM37" s="38">
        <f>IF(AL37="","",AL37*T37)</f>
        <v/>
      </c>
      <c r="AN37" s="36">
        <f>IF(OR(AG37="",R37=0),"",MIN(IF(AS37="",9.9E+99,AS37),AK37/R37))</f>
        <v/>
      </c>
      <c r="AO37" s="38">
        <f>IF(AN37="","",AN37*T37)</f>
        <v/>
      </c>
      <c r="AP37" s="40" t="n"/>
      <c r="AQ37" s="41" t="n"/>
      <c r="AR37" s="41" t="inlineStr">
        <is>
          <t>modal_shift_greenfield</t>
        </is>
      </c>
      <c r="AS37" s="42" t="n"/>
      <c r="AT37" s="43">
        <f>IF(((S37*pax_cap*load_thin*ROUND(K37*L37*revleg_thin,0))-(((battery/range_nm)*D37*ROUND(K37*L37*revleg_thin,0)*VLOOKUP(B37,country_opex,3,FALSE))+V37+W37+X37+Y37+Z37))&lt;=0,"",VLOOKUP(B37,country_opex,7,FALSE)/((S37*pax_cap*load_thin*ROUND(K37*L37*revleg_thin,0))-(((battery/range_nm)*D37*ROUND(K37*L37*revleg_thin,0)*VLOOKUP(B37,country_opex,3,FALSE))+V37+W37+X37+Y37+Z37)))</f>
        <v/>
      </c>
      <c r="AU37" s="43">
        <f>IF(((S37*pax_cap*load_mid*ROUND(K37*L37*revleg_mid,0))-(((battery/range_nm)*D37*ROUND(K37*L37*revleg_mid,0)*VLOOKUP(B37,country_opex,3,FALSE))+V37+W37+X37+Y37+Z37))&lt;=0,"",VLOOKUP(B37,country_opex,7,FALSE)/((S37*pax_cap*load_mid*ROUND(K37*L37*revleg_mid,0))-(((battery/range_nm)*D37*ROUND(K37*L37*revleg_mid,0)*VLOOKUP(B37,country_opex,3,FALSE))+V37+W37+X37+Y37+Z37)))</f>
        <v/>
      </c>
      <c r="AV37" s="43">
        <f>IF(((S37*pax_cap*load_full*ROUND(K37*L37*revleg_full,0))-(((battery/range_nm)*D37*ROUND(K37*L37*revleg_full,0)*VLOOKUP(B37,country_opex,3,FALSE))+V37+W37+X37+Y37+Z37))&lt;=0,"",VLOOKUP(B37,country_opex,7,FALSE)/((S37*pax_cap*load_full*ROUND(K37*L37*revleg_full,0))-(((battery/range_nm)*D37*ROUND(K37*L37*revleg_full,0)*VLOOKUP(B37,country_opex,3,FALSE))+V37+W37+X37+Y37+Z37)))</f>
        <v/>
      </c>
      <c r="AW37" s="44" t="inlineStr">
        <is>
          <t>Kept from prior registry = $110/seat (historic fast-ferry premium fare level / cross-gulf premium tier). FLAG: legacy/aspirational - no active service.</t>
        </is>
      </c>
      <c r="AX37" s="44" t="inlineStr">
        <is>
          <t>tourism</t>
        </is>
      </c>
    </row>
    <row r="38">
      <c r="A38" s="29" t="inlineStr">
        <is>
          <t>Bolt Estonia</t>
        </is>
      </c>
      <c r="B38" s="29" t="inlineStr">
        <is>
          <t>Estonia</t>
        </is>
      </c>
      <c r="C38" s="30" t="inlineStr">
        <is>
          <t>Tallinn Old City Harbour → Pirita Marina</t>
        </is>
      </c>
      <c r="D38" s="31" t="n">
        <v>4.5</v>
      </c>
      <c r="E38" s="26" t="n"/>
      <c r="F38" s="32" t="inlineStr">
        <is>
          <t>T5</t>
        </is>
      </c>
      <c r="G38" s="32" t="inlineStr">
        <is>
          <t>low</t>
        </is>
      </c>
      <c r="H38" s="19" t="n">
        <v>1</v>
      </c>
      <c r="I38" s="33">
        <f>60*D38/cruise_kt</f>
        <v/>
      </c>
      <c r="J38" s="33">
        <f>I38+turn_min+dwell_min</f>
        <v/>
      </c>
      <c r="K38" s="34">
        <f>MIN(16,FLOOR(60*service_hr/J38,1))</f>
        <v/>
      </c>
      <c r="L38" s="34">
        <f>ROUND(365*mech_uptime*H38,0)</f>
        <v/>
      </c>
      <c r="M38" s="35">
        <f>mech_uptime</f>
        <v/>
      </c>
      <c r="N38" s="35">
        <f>revleg_sel</f>
        <v/>
      </c>
      <c r="O38" s="34">
        <f>ROUND(K38*L38*revleg_sel,0)</f>
        <v/>
      </c>
      <c r="P38" s="36">
        <f>load_sel</f>
        <v/>
      </c>
      <c r="Q38" s="36">
        <f>pax_cap*P38</f>
        <v/>
      </c>
      <c r="R38" s="34">
        <f>Q38*O38</f>
        <v/>
      </c>
      <c r="S38" s="37">
        <f>E38*discount</f>
        <v/>
      </c>
      <c r="T38" s="38">
        <f>S38*R38</f>
        <v/>
      </c>
      <c r="U38" s="38">
        <f>(battery/range_nm)*D38*O38*VLOOKUP(B38,country_opex,3,FALSE)</f>
        <v/>
      </c>
      <c r="V38" s="38">
        <f>VLOOKUP(B38,country_opex,2,FALSE)*crew_factor</f>
        <v/>
      </c>
      <c r="W38" s="38">
        <f>VLOOKUP(B38,country_opex,5,FALSE)</f>
        <v/>
      </c>
      <c r="X38" s="38">
        <f>maint</f>
        <v/>
      </c>
      <c r="Y38" s="38">
        <f>VLOOKUP(B38,country_opex,7,FALSE)*ins_pct</f>
        <v/>
      </c>
      <c r="Z38" s="38">
        <f>charge_berth</f>
        <v/>
      </c>
      <c r="AA38" s="38">
        <f>U38+V38+W38+X38+Y38+Z38</f>
        <v/>
      </c>
      <c r="AB38" s="38">
        <f>VLOOKUP(B38,country_opex,7,FALSE)/dep_years</f>
        <v/>
      </c>
      <c r="AC38" s="38">
        <f>T38-AA38</f>
        <v/>
      </c>
      <c r="AD38" s="35">
        <f>IF(T38=0,"",AC38/T38)</f>
        <v/>
      </c>
      <c r="AE38" s="36">
        <f>IF(AC38&lt;=0,"",VLOOKUP(B38,country_opex,7,FALSE)/AC38)</f>
        <v/>
      </c>
      <c r="AF38" s="33">
        <f>((D38*O38/diesel_nmpg)*diesel_co2pg-(battery/range_nm)*D38*O38*VLOOKUP(B38,country_opex,4,FALSE))/1000</f>
        <v/>
      </c>
      <c r="AG38" s="31" t="n"/>
      <c r="AH38" s="32" t="inlineStr">
        <is>
          <t>T5</t>
        </is>
      </c>
      <c r="AI38" s="32" t="inlineStr">
        <is>
          <t>low</t>
        </is>
      </c>
      <c r="AJ38" s="39" t="n">
        <v>0.1</v>
      </c>
      <c r="AK38" s="34">
        <f>IF(AG38="","",AG38*AJ38)</f>
        <v/>
      </c>
      <c r="AL38" s="34">
        <f>IF(OR(AG38="",R38=0),"",MIN(IF(AS38="",9.9E+99,AS38),FLOOR(AK38/R38,1)))</f>
        <v/>
      </c>
      <c r="AM38" s="38">
        <f>IF(AL38="","",AL38*T38)</f>
        <v/>
      </c>
      <c r="AN38" s="36">
        <f>IF(OR(AG38="",R38=0),"",MIN(IF(AS38="",9.9E+99,AS38),AK38/R38))</f>
        <v/>
      </c>
      <c r="AO38" s="38">
        <f>IF(AN38="","",AN38*T38)</f>
        <v/>
      </c>
      <c r="AP38" s="40" t="n"/>
      <c r="AQ38" s="41" t="n"/>
      <c r="AR38" s="41" t="n"/>
      <c r="AS38" s="42" t="n"/>
      <c r="AT38" s="43">
        <f>IF(((S38*pax_cap*load_thin*ROUND(K38*L38*revleg_thin,0))-(((battery/range_nm)*D38*ROUND(K38*L38*revleg_thin,0)*VLOOKUP(B38,country_opex,3,FALSE))+V38+W38+X38+Y38+Z38))&lt;=0,"",VLOOKUP(B38,country_opex,7,FALSE)/((S38*pax_cap*load_thin*ROUND(K38*L38*revleg_thin,0))-(((battery/range_nm)*D38*ROUND(K38*L38*revleg_thin,0)*VLOOKUP(B38,country_opex,3,FALSE))+V38+W38+X38+Y38+Z38)))</f>
        <v/>
      </c>
      <c r="AU38" s="43">
        <f>IF(((S38*pax_cap*load_mid*ROUND(K38*L38*revleg_mid,0))-(((battery/range_nm)*D38*ROUND(K38*L38*revleg_mid,0)*VLOOKUP(B38,country_opex,3,FALSE))+V38+W38+X38+Y38+Z38))&lt;=0,"",VLOOKUP(B38,country_opex,7,FALSE)/((S38*pax_cap*load_mid*ROUND(K38*L38*revleg_mid,0))-(((battery/range_nm)*D38*ROUND(K38*L38*revleg_mid,0)*VLOOKUP(B38,country_opex,3,FALSE))+V38+W38+X38+Y38+Z38)))</f>
        <v/>
      </c>
      <c r="AV38" s="43">
        <f>IF(((S38*pax_cap*load_full*ROUND(K38*L38*revleg_full,0))-(((battery/range_nm)*D38*ROUND(K38*L38*revleg_full,0)*VLOOKUP(B38,country_opex,3,FALSE))+V38+W38+X38+Y38+Z38))&lt;=0,"",VLOOKUP(B38,country_opex,7,FALSE)/((S38*pax_cap*load_full*ROUND(K38*L38*revleg_full,0))-(((battery/range_nm)*D38*ROUND(K38*L38*revleg_full,0)*VLOOKUP(B38,country_opex,3,FALSE))+V38+W38+X38+Y38+Z38)))</f>
        <v/>
      </c>
      <c r="AW38" s="44" t="inlineStr">
        <is>
          <t>TBD — Tier-B headline placeholder</t>
        </is>
      </c>
      <c r="AX38" s="44" t="inlineStr">
        <is>
          <t>TBD — Tier-B headline placeholder</t>
        </is>
      </c>
    </row>
    <row r="39">
      <c r="A39" s="29" t="inlineStr">
        <is>
          <t>Bolt Estonia</t>
        </is>
      </c>
      <c r="B39" s="29" t="inlineStr">
        <is>
          <t>Estonia</t>
        </is>
      </c>
      <c r="C39" s="30" t="inlineStr">
        <is>
          <t>Tallinn → Prangli</t>
        </is>
      </c>
      <c r="D39" s="31" t="n">
        <v>5</v>
      </c>
      <c r="E39" s="26" t="n">
        <v>6.5</v>
      </c>
      <c r="F39" s="32" t="inlineStr">
        <is>
          <t>T2</t>
        </is>
      </c>
      <c r="G39" s="32" t="inlineStr">
        <is>
          <t>med</t>
        </is>
      </c>
      <c r="H39" s="19" t="n">
        <v>1</v>
      </c>
      <c r="I39" s="33">
        <f>60*D39/cruise_kt</f>
        <v/>
      </c>
      <c r="J39" s="33">
        <f>I39+turn_min+dwell_min</f>
        <v/>
      </c>
      <c r="K39" s="34">
        <f>MIN(10,FLOOR(60*service_hr/J39,1))</f>
        <v/>
      </c>
      <c r="L39" s="34">
        <f>ROUND(365*mech_uptime*H39,0)</f>
        <v/>
      </c>
      <c r="M39" s="35">
        <f>mech_uptime</f>
        <v/>
      </c>
      <c r="N39" s="35">
        <f>revleg_sel</f>
        <v/>
      </c>
      <c r="O39" s="34">
        <f>ROUND(K39*L39*revleg_sel,0)</f>
        <v/>
      </c>
      <c r="P39" s="36">
        <f>load_sel</f>
        <v/>
      </c>
      <c r="Q39" s="36">
        <f>pax_cap*P39</f>
        <v/>
      </c>
      <c r="R39" s="34">
        <f>Q39*O39</f>
        <v/>
      </c>
      <c r="S39" s="37">
        <f>E39*discount</f>
        <v/>
      </c>
      <c r="T39" s="38">
        <f>S39*R39</f>
        <v/>
      </c>
      <c r="U39" s="38">
        <f>(battery/range_nm)*D39*O39*VLOOKUP(B39,country_opex,3,FALSE)</f>
        <v/>
      </c>
      <c r="V39" s="38">
        <f>VLOOKUP(B39,country_opex,2,FALSE)*crew_factor</f>
        <v/>
      </c>
      <c r="W39" s="38">
        <f>VLOOKUP(B39,country_opex,5,FALSE)</f>
        <v/>
      </c>
      <c r="X39" s="38">
        <f>maint</f>
        <v/>
      </c>
      <c r="Y39" s="38">
        <f>VLOOKUP(B39,country_opex,7,FALSE)*ins_pct</f>
        <v/>
      </c>
      <c r="Z39" s="38">
        <f>charge_berth</f>
        <v/>
      </c>
      <c r="AA39" s="38">
        <f>U39+V39+W39+X39+Y39+Z39</f>
        <v/>
      </c>
      <c r="AB39" s="38">
        <f>VLOOKUP(B39,country_opex,7,FALSE)/dep_years</f>
        <v/>
      </c>
      <c r="AC39" s="38">
        <f>T39-AA39</f>
        <v/>
      </c>
      <c r="AD39" s="35">
        <f>IF(T39=0,"",AC39/T39)</f>
        <v/>
      </c>
      <c r="AE39" s="36">
        <f>IF(AC39&lt;=0,"",VLOOKUP(B39,country_opex,7,FALSE)/AC39)</f>
        <v/>
      </c>
      <c r="AF39" s="33">
        <f>((D39*O39/diesel_nmpg)*diesel_co2pg-(battery/range_nm)*D39*O39*VLOOKUP(B39,country_opex,4,FALSE))/1000</f>
        <v/>
      </c>
      <c r="AG39" s="31" t="n">
        <v>4500</v>
      </c>
      <c r="AH39" s="32" t="n"/>
      <c r="AI39" s="32" t="inlineStr">
        <is>
          <t>med</t>
        </is>
      </c>
      <c r="AJ39" s="39" t="n">
        <v>0.25</v>
      </c>
      <c r="AK39" s="34">
        <f>IF(AG39="","",AG39*AJ39)</f>
        <v/>
      </c>
      <c r="AL39" s="34">
        <f>IF(OR(AG39="",R39=0),"",MIN(IF(AS39="",9.9E+99,AS39),FLOOR(AK39/R39,1)))</f>
        <v/>
      </c>
      <c r="AM39" s="38">
        <f>IF(AL39="","",AL39*T39)</f>
        <v/>
      </c>
      <c r="AN39" s="36">
        <f>IF(OR(AG39="",R39=0),"",MIN(IF(AS39="",9.9E+99,AS39),AK39/R39))</f>
        <v/>
      </c>
      <c r="AO39" s="38">
        <f>IF(AN39="","",AN39*T39)</f>
        <v/>
      </c>
      <c r="AP39" s="40" t="n"/>
      <c r="AQ39" s="41" t="n"/>
      <c r="AR39" s="41" t="n"/>
      <c r="AS39" s="42" t="n"/>
      <c r="AT39" s="43">
        <f>IF(((S39*pax_cap*load_thin*ROUND(K39*L39*revleg_thin,0))-(((battery/range_nm)*D39*ROUND(K39*L39*revleg_thin,0)*VLOOKUP(B39,country_opex,3,FALSE))+V39+W39+X39+Y39+Z39))&lt;=0,"",VLOOKUP(B39,country_opex,7,FALSE)/((S39*pax_cap*load_thin*ROUND(K39*L39*revleg_thin,0))-(((battery/range_nm)*D39*ROUND(K39*L39*revleg_thin,0)*VLOOKUP(B39,country_opex,3,FALSE))+V39+W39+X39+Y39+Z39)))</f>
        <v/>
      </c>
      <c r="AU39" s="43">
        <f>IF(((S39*pax_cap*load_mid*ROUND(K39*L39*revleg_mid,0))-(((battery/range_nm)*D39*ROUND(K39*L39*revleg_mid,0)*VLOOKUP(B39,country_opex,3,FALSE))+V39+W39+X39+Y39+Z39))&lt;=0,"",VLOOKUP(B39,country_opex,7,FALSE)/((S39*pax_cap*load_mid*ROUND(K39*L39*revleg_mid,0))-(((battery/range_nm)*D39*ROUND(K39*L39*revleg_mid,0)*VLOOKUP(B39,country_opex,3,FALSE))+V39+W39+X39+Y39+Z39)))</f>
        <v/>
      </c>
      <c r="AV39" s="43">
        <f>IF(((S39*pax_cap*load_full*ROUND(K39*L39*revleg_full,0))-(((battery/range_nm)*D39*ROUND(K39*L39*revleg_full,0)*VLOOKUP(B39,country_opex,3,FALSE))+V39+W39+X39+Y39+Z39))&lt;=0,"",VLOOKUP(B39,country_opex,7,FALSE)/((S39*pax_cap*load_full*ROUND(K39*L39*revleg_full,0))-(((battery/range_nm)*D39*ROUND(K39*L39*revleg_full,0)*VLOOKUP(B39,country_opex,3,FALSE))+V39+W39+X39+Y39+Z39)))</f>
        <v/>
      </c>
      <c r="AW39" s="44" t="inlineStr">
        <is>
          <t>Wrango ferry Leppneeme&lt;-&gt;Kelnase adult EUR 6 one-way (Viimsi municipality). EUR 6 x 1.08 = $6.5.</t>
        </is>
      </c>
      <c r="AX39" s="44" t="n"/>
    </row>
    <row r="40">
      <c r="A40" s="29" t="inlineStr">
        <is>
          <t>Bolt Estonia</t>
        </is>
      </c>
      <c r="B40" s="29" t="inlineStr">
        <is>
          <t>Estonia</t>
        </is>
      </c>
      <c r="C40" s="30" t="inlineStr">
        <is>
          <t>Tallinn → Viimsi</t>
        </is>
      </c>
      <c r="D40" s="31" t="n">
        <v>5</v>
      </c>
      <c r="E40" s="26" t="n"/>
      <c r="F40" s="32" t="n"/>
      <c r="G40" s="32" t="n"/>
      <c r="H40" s="19" t="n">
        <v>1</v>
      </c>
      <c r="I40" s="33">
        <f>60*D40/cruise_kt</f>
        <v/>
      </c>
      <c r="J40" s="33">
        <f>I40+turn_min+dwell_min</f>
        <v/>
      </c>
      <c r="K40" s="34">
        <f>MIN(16,FLOOR(60*service_hr/J40,1))</f>
        <v/>
      </c>
      <c r="L40" s="34">
        <f>ROUND(365*mech_uptime*H40,0)</f>
        <v/>
      </c>
      <c r="M40" s="35">
        <f>mech_uptime</f>
        <v/>
      </c>
      <c r="N40" s="35">
        <f>revleg_sel</f>
        <v/>
      </c>
      <c r="O40" s="34">
        <f>ROUND(K40*L40*revleg_sel,0)</f>
        <v/>
      </c>
      <c r="P40" s="36">
        <f>load_sel</f>
        <v/>
      </c>
      <c r="Q40" s="36">
        <f>pax_cap*P40</f>
        <v/>
      </c>
      <c r="R40" s="34">
        <f>Q40*O40</f>
        <v/>
      </c>
      <c r="S40" s="37">
        <f>E40*discount</f>
        <v/>
      </c>
      <c r="T40" s="38">
        <f>S40*R40</f>
        <v/>
      </c>
      <c r="U40" s="38">
        <f>(battery/range_nm)*D40*O40*VLOOKUP(B40,country_opex,3,FALSE)</f>
        <v/>
      </c>
      <c r="V40" s="38">
        <f>VLOOKUP(B40,country_opex,2,FALSE)*crew_factor</f>
        <v/>
      </c>
      <c r="W40" s="38">
        <f>VLOOKUP(B40,country_opex,5,FALSE)</f>
        <v/>
      </c>
      <c r="X40" s="38">
        <f>maint</f>
        <v/>
      </c>
      <c r="Y40" s="38">
        <f>VLOOKUP(B40,country_opex,7,FALSE)*ins_pct</f>
        <v/>
      </c>
      <c r="Z40" s="38">
        <f>charge_berth</f>
        <v/>
      </c>
      <c r="AA40" s="38">
        <f>U40+V40+W40+X40+Y40+Z40</f>
        <v/>
      </c>
      <c r="AB40" s="38">
        <f>VLOOKUP(B40,country_opex,7,FALSE)/dep_years</f>
        <v/>
      </c>
      <c r="AC40" s="38">
        <f>T40-AA40</f>
        <v/>
      </c>
      <c r="AD40" s="35">
        <f>IF(T40=0,"",AC40/T40)</f>
        <v/>
      </c>
      <c r="AE40" s="36">
        <f>IF(AC40&lt;=0,"",VLOOKUP(B40,country_opex,7,FALSE)/AC40)</f>
        <v/>
      </c>
      <c r="AF40" s="33">
        <f>((D40*O40/diesel_nmpg)*diesel_co2pg-(battery/range_nm)*D40*O40*VLOOKUP(B40,country_opex,4,FALSE))/1000</f>
        <v/>
      </c>
      <c r="AG40" s="31" t="n"/>
      <c r="AH40" s="32" t="n"/>
      <c r="AI40" s="32" t="n"/>
      <c r="AJ40" s="39" t="n">
        <v>0.1</v>
      </c>
      <c r="AK40" s="34">
        <f>IF(AG40="","",AG40*AJ40)</f>
        <v/>
      </c>
      <c r="AL40" s="34">
        <f>IF(OR(AG40="",R40=0),"",MIN(IF(AS40="",9.9E+99,AS40),FLOOR(AK40/R40,1)))</f>
        <v/>
      </c>
      <c r="AM40" s="38">
        <f>IF(AL40="","",AL40*T40)</f>
        <v/>
      </c>
      <c r="AN40" s="36">
        <f>IF(OR(AG40="",R40=0),"",MIN(IF(AS40="",9.9E+99,AS40),AK40/R40))</f>
        <v/>
      </c>
      <c r="AO40" s="38">
        <f>IF(AN40="","",AN40*T40)</f>
        <v/>
      </c>
      <c r="AP40" s="40" t="n"/>
      <c r="AQ40" s="41" t="n"/>
      <c r="AR40" s="41" t="n"/>
      <c r="AS40" s="42" t="n"/>
      <c r="AT40" s="43">
        <f>IF(((S40*pax_cap*load_thin*ROUND(K40*L40*revleg_thin,0))-(((battery/range_nm)*D40*ROUND(K40*L40*revleg_thin,0)*VLOOKUP(B40,country_opex,3,FALSE))+V40+W40+X40+Y40+Z40))&lt;=0,"",VLOOKUP(B40,country_opex,7,FALSE)/((S40*pax_cap*load_thin*ROUND(K40*L40*revleg_thin,0))-(((battery/range_nm)*D40*ROUND(K40*L40*revleg_thin,0)*VLOOKUP(B40,country_opex,3,FALSE))+V40+W40+X40+Y40+Z40)))</f>
        <v/>
      </c>
      <c r="AU40" s="43">
        <f>IF(((S40*pax_cap*load_mid*ROUND(K40*L40*revleg_mid,0))-(((battery/range_nm)*D40*ROUND(K40*L40*revleg_mid,0)*VLOOKUP(B40,country_opex,3,FALSE))+V40+W40+X40+Y40+Z40))&lt;=0,"",VLOOKUP(B40,country_opex,7,FALSE)/((S40*pax_cap*load_mid*ROUND(K40*L40*revleg_mid,0))-(((battery/range_nm)*D40*ROUND(K40*L40*revleg_mid,0)*VLOOKUP(B40,country_opex,3,FALSE))+V40+W40+X40+Y40+Z40)))</f>
        <v/>
      </c>
      <c r="AV40" s="43">
        <f>IF(((S40*pax_cap*load_full*ROUND(K40*L40*revleg_full,0))-(((battery/range_nm)*D40*ROUND(K40*L40*revleg_full,0)*VLOOKUP(B40,country_opex,3,FALSE))+V40+W40+X40+Y40+Z40))&lt;=0,"",VLOOKUP(B40,country_opex,7,FALSE)/((S40*pax_cap*load_full*ROUND(K40*L40*revleg_full,0))-(((battery/range_nm)*D40*ROUND(K40*L40*revleg_full,0)*VLOOKUP(B40,country_opex,3,FALSE))+V40+W40+X40+Y40+Z40)))</f>
        <v/>
      </c>
      <c r="AW40" s="44" t="n"/>
      <c r="AX40" s="44" t="n"/>
    </row>
    <row r="41">
      <c r="A41" s="29" t="inlineStr">
        <is>
          <t>Bolt Estonia</t>
        </is>
      </c>
      <c r="B41" s="29" t="inlineStr">
        <is>
          <t>Estonia</t>
        </is>
      </c>
      <c r="C41" s="30" t="inlineStr">
        <is>
          <t>Tallinn → Kakumäe</t>
        </is>
      </c>
      <c r="D41" s="31" t="n">
        <v>6</v>
      </c>
      <c r="E41" s="26" t="n"/>
      <c r="F41" s="32" t="n"/>
      <c r="G41" s="32" t="n"/>
      <c r="H41" s="19" t="n">
        <v>1</v>
      </c>
      <c r="I41" s="33">
        <f>60*D41/cruise_kt</f>
        <v/>
      </c>
      <c r="J41" s="33">
        <f>I41+turn_min+dwell_min</f>
        <v/>
      </c>
      <c r="K41" s="34">
        <f>MIN(16,FLOOR(60*service_hr/J41,1))</f>
        <v/>
      </c>
      <c r="L41" s="34">
        <f>ROUND(365*mech_uptime*H41,0)</f>
        <v/>
      </c>
      <c r="M41" s="35">
        <f>mech_uptime</f>
        <v/>
      </c>
      <c r="N41" s="35">
        <f>revleg_sel</f>
        <v/>
      </c>
      <c r="O41" s="34">
        <f>ROUND(K41*L41*revleg_sel,0)</f>
        <v/>
      </c>
      <c r="P41" s="36">
        <f>load_sel</f>
        <v/>
      </c>
      <c r="Q41" s="36">
        <f>pax_cap*P41</f>
        <v/>
      </c>
      <c r="R41" s="34">
        <f>Q41*O41</f>
        <v/>
      </c>
      <c r="S41" s="37">
        <f>E41*discount</f>
        <v/>
      </c>
      <c r="T41" s="38">
        <f>S41*R41</f>
        <v/>
      </c>
      <c r="U41" s="38">
        <f>(battery/range_nm)*D41*O41*VLOOKUP(B41,country_opex,3,FALSE)</f>
        <v/>
      </c>
      <c r="V41" s="38">
        <f>VLOOKUP(B41,country_opex,2,FALSE)*crew_factor</f>
        <v/>
      </c>
      <c r="W41" s="38">
        <f>VLOOKUP(B41,country_opex,5,FALSE)</f>
        <v/>
      </c>
      <c r="X41" s="38">
        <f>maint</f>
        <v/>
      </c>
      <c r="Y41" s="38">
        <f>VLOOKUP(B41,country_opex,7,FALSE)*ins_pct</f>
        <v/>
      </c>
      <c r="Z41" s="38">
        <f>charge_berth</f>
        <v/>
      </c>
      <c r="AA41" s="38">
        <f>U41+V41+W41+X41+Y41+Z41</f>
        <v/>
      </c>
      <c r="AB41" s="38">
        <f>VLOOKUP(B41,country_opex,7,FALSE)/dep_years</f>
        <v/>
      </c>
      <c r="AC41" s="38">
        <f>T41-AA41</f>
        <v/>
      </c>
      <c r="AD41" s="35">
        <f>IF(T41=0,"",AC41/T41)</f>
        <v/>
      </c>
      <c r="AE41" s="36">
        <f>IF(AC41&lt;=0,"",VLOOKUP(B41,country_opex,7,FALSE)/AC41)</f>
        <v/>
      </c>
      <c r="AF41" s="33">
        <f>((D41*O41/diesel_nmpg)*diesel_co2pg-(battery/range_nm)*D41*O41*VLOOKUP(B41,country_opex,4,FALSE))/1000</f>
        <v/>
      </c>
      <c r="AG41" s="31" t="n"/>
      <c r="AH41" s="32" t="n"/>
      <c r="AI41" s="32" t="n"/>
      <c r="AJ41" s="39" t="n">
        <v>0.1</v>
      </c>
      <c r="AK41" s="34">
        <f>IF(AG41="","",AG41*AJ41)</f>
        <v/>
      </c>
      <c r="AL41" s="34">
        <f>IF(OR(AG41="",R41=0),"",MIN(IF(AS41="",9.9E+99,AS41),FLOOR(AK41/R41,1)))</f>
        <v/>
      </c>
      <c r="AM41" s="38">
        <f>IF(AL41="","",AL41*T41)</f>
        <v/>
      </c>
      <c r="AN41" s="36">
        <f>IF(OR(AG41="",R41=0),"",MIN(IF(AS41="",9.9E+99,AS41),AK41/R41))</f>
        <v/>
      </c>
      <c r="AO41" s="38">
        <f>IF(AN41="","",AN41*T41)</f>
        <v/>
      </c>
      <c r="AP41" s="40" t="n"/>
      <c r="AQ41" s="41" t="n"/>
      <c r="AR41" s="41" t="n"/>
      <c r="AS41" s="42" t="n"/>
      <c r="AT41" s="43">
        <f>IF(((S41*pax_cap*load_thin*ROUND(K41*L41*revleg_thin,0))-(((battery/range_nm)*D41*ROUND(K41*L41*revleg_thin,0)*VLOOKUP(B41,country_opex,3,FALSE))+V41+W41+X41+Y41+Z41))&lt;=0,"",VLOOKUP(B41,country_opex,7,FALSE)/((S41*pax_cap*load_thin*ROUND(K41*L41*revleg_thin,0))-(((battery/range_nm)*D41*ROUND(K41*L41*revleg_thin,0)*VLOOKUP(B41,country_opex,3,FALSE))+V41+W41+X41+Y41+Z41)))</f>
        <v/>
      </c>
      <c r="AU41" s="43">
        <f>IF(((S41*pax_cap*load_mid*ROUND(K41*L41*revleg_mid,0))-(((battery/range_nm)*D41*ROUND(K41*L41*revleg_mid,0)*VLOOKUP(B41,country_opex,3,FALSE))+V41+W41+X41+Y41+Z41))&lt;=0,"",VLOOKUP(B41,country_opex,7,FALSE)/((S41*pax_cap*load_mid*ROUND(K41*L41*revleg_mid,0))-(((battery/range_nm)*D41*ROUND(K41*L41*revleg_mid,0)*VLOOKUP(B41,country_opex,3,FALSE))+V41+W41+X41+Y41+Z41)))</f>
        <v/>
      </c>
      <c r="AV41" s="43">
        <f>IF(((S41*pax_cap*load_full*ROUND(K41*L41*revleg_full,0))-(((battery/range_nm)*D41*ROUND(K41*L41*revleg_full,0)*VLOOKUP(B41,country_opex,3,FALSE))+V41+W41+X41+Y41+Z41))&lt;=0,"",VLOOKUP(B41,country_opex,7,FALSE)/((S41*pax_cap*load_full*ROUND(K41*L41*revleg_full,0))-(((battery/range_nm)*D41*ROUND(K41*L41*revleg_full,0)*VLOOKUP(B41,country_opex,3,FALSE))+V41+W41+X41+Y41+Z41)))</f>
        <v/>
      </c>
      <c r="AW41" s="44" t="n"/>
      <c r="AX41" s="44" t="n"/>
    </row>
    <row r="42">
      <c r="A42" s="29" t="inlineStr">
        <is>
          <t>Bolt Estonia</t>
        </is>
      </c>
      <c r="B42" s="29" t="inlineStr">
        <is>
          <t>Estonia</t>
        </is>
      </c>
      <c r="C42" s="30" t="inlineStr">
        <is>
          <t>Tallinn → Aegna</t>
        </is>
      </c>
      <c r="D42" s="31" t="n">
        <v>7</v>
      </c>
      <c r="E42" s="26" t="n">
        <v>6.5</v>
      </c>
      <c r="F42" s="32" t="inlineStr">
        <is>
          <t>T2</t>
        </is>
      </c>
      <c r="G42" s="32" t="inlineStr">
        <is>
          <t>med</t>
        </is>
      </c>
      <c r="H42" s="19" t="n">
        <v>1</v>
      </c>
      <c r="I42" s="33">
        <f>60*D42/cruise_kt</f>
        <v/>
      </c>
      <c r="J42" s="33">
        <f>I42+turn_min+dwell_min</f>
        <v/>
      </c>
      <c r="K42" s="34">
        <f>MIN(10,FLOOR(60*service_hr/J42,1))</f>
        <v/>
      </c>
      <c r="L42" s="34">
        <f>ROUND(365*mech_uptime*H42,0)</f>
        <v/>
      </c>
      <c r="M42" s="35">
        <f>mech_uptime</f>
        <v/>
      </c>
      <c r="N42" s="35">
        <f>revleg_sel</f>
        <v/>
      </c>
      <c r="O42" s="34">
        <f>ROUND(K42*L42*revleg_sel,0)</f>
        <v/>
      </c>
      <c r="P42" s="36">
        <f>load_sel</f>
        <v/>
      </c>
      <c r="Q42" s="36">
        <f>pax_cap*P42</f>
        <v/>
      </c>
      <c r="R42" s="34">
        <f>Q42*O42</f>
        <v/>
      </c>
      <c r="S42" s="37">
        <f>E42*discount</f>
        <v/>
      </c>
      <c r="T42" s="38">
        <f>S42*R42</f>
        <v/>
      </c>
      <c r="U42" s="38">
        <f>(battery/range_nm)*D42*O42*VLOOKUP(B42,country_opex,3,FALSE)</f>
        <v/>
      </c>
      <c r="V42" s="38">
        <f>VLOOKUP(B42,country_opex,2,FALSE)*crew_factor</f>
        <v/>
      </c>
      <c r="W42" s="38">
        <f>VLOOKUP(B42,country_opex,5,FALSE)</f>
        <v/>
      </c>
      <c r="X42" s="38">
        <f>maint</f>
        <v/>
      </c>
      <c r="Y42" s="38">
        <f>VLOOKUP(B42,country_opex,7,FALSE)*ins_pct</f>
        <v/>
      </c>
      <c r="Z42" s="38">
        <f>charge_berth</f>
        <v/>
      </c>
      <c r="AA42" s="38">
        <f>U42+V42+W42+X42+Y42+Z42</f>
        <v/>
      </c>
      <c r="AB42" s="38">
        <f>VLOOKUP(B42,country_opex,7,FALSE)/dep_years</f>
        <v/>
      </c>
      <c r="AC42" s="38">
        <f>T42-AA42</f>
        <v/>
      </c>
      <c r="AD42" s="35">
        <f>IF(T42=0,"",AC42/T42)</f>
        <v/>
      </c>
      <c r="AE42" s="36">
        <f>IF(AC42&lt;=0,"",VLOOKUP(B42,country_opex,7,FALSE)/AC42)</f>
        <v/>
      </c>
      <c r="AF42" s="33">
        <f>((D42*O42/diesel_nmpg)*diesel_co2pg-(battery/range_nm)*D42*O42*VLOOKUP(B42,country_opex,4,FALSE))/1000</f>
        <v/>
      </c>
      <c r="AG42" s="31" t="n">
        <v>3300</v>
      </c>
      <c r="AH42" s="32" t="n"/>
      <c r="AI42" s="32" t="inlineStr">
        <is>
          <t>med</t>
        </is>
      </c>
      <c r="AJ42" s="39" t="n">
        <v>0.25</v>
      </c>
      <c r="AK42" s="34">
        <f>IF(AG42="","",AG42*AJ42)</f>
        <v/>
      </c>
      <c r="AL42" s="34">
        <f>IF(OR(AG42="",R42=0),"",MIN(IF(AS42="",9.9E+99,AS42),FLOOR(AK42/R42,1)))</f>
        <v/>
      </c>
      <c r="AM42" s="38">
        <f>IF(AL42="","",AL42*T42)</f>
        <v/>
      </c>
      <c r="AN42" s="36">
        <f>IF(OR(AG42="",R42=0),"",MIN(IF(AS42="",9.9E+99,AS42),AK42/R42))</f>
        <v/>
      </c>
      <c r="AO42" s="38">
        <f>IF(AN42="","",AN42*T42)</f>
        <v/>
      </c>
      <c r="AP42" s="40" t="n"/>
      <c r="AQ42" s="41" t="n"/>
      <c r="AR42" s="41" t="n"/>
      <c r="AS42" s="42" t="n"/>
      <c r="AT42" s="43">
        <f>IF(((S42*pax_cap*load_thin*ROUND(K42*L42*revleg_thin,0))-(((battery/range_nm)*D42*ROUND(K42*L42*revleg_thin,0)*VLOOKUP(B42,country_opex,3,FALSE))+V42+W42+X42+Y42+Z42))&lt;=0,"",VLOOKUP(B42,country_opex,7,FALSE)/((S42*pax_cap*load_thin*ROUND(K42*L42*revleg_thin,0))-(((battery/range_nm)*D42*ROUND(K42*L42*revleg_thin,0)*VLOOKUP(B42,country_opex,3,FALSE))+V42+W42+X42+Y42+Z42)))</f>
        <v/>
      </c>
      <c r="AU42" s="43">
        <f>IF(((S42*pax_cap*load_mid*ROUND(K42*L42*revleg_mid,0))-(((battery/range_nm)*D42*ROUND(K42*L42*revleg_mid,0)*VLOOKUP(B42,country_opex,3,FALSE))+V42+W42+X42+Y42+Z42))&lt;=0,"",VLOOKUP(B42,country_opex,7,FALSE)/((S42*pax_cap*load_mid*ROUND(K42*L42*revleg_mid,0))-(((battery/range_nm)*D42*ROUND(K42*L42*revleg_mid,0)*VLOOKUP(B42,country_opex,3,FALSE))+V42+W42+X42+Y42+Z42)))</f>
        <v/>
      </c>
      <c r="AV42" s="43">
        <f>IF(((S42*pax_cap*load_full*ROUND(K42*L42*revleg_full,0))-(((battery/range_nm)*D42*ROUND(K42*L42*revleg_full,0)*VLOOKUP(B42,country_opex,3,FALSE))+V42+W42+X42+Y42+Z42))&lt;=0,"",VLOOKUP(B42,country_opex,7,FALSE)/((S42*pax_cap*load_full*ROUND(K42*L42*revleg_full,0))-(((battery/range_nm)*D42*ROUND(K42*L42*revleg_full,0)*VLOOKUP(B42,country_opex,3,FALSE))+V42+W42+X42+Y42+Z42)))</f>
        <v/>
      </c>
      <c r="AW42" s="44" t="inlineStr">
        <is>
          <t>Sunlines Tallinn-&gt;Aegna adult scheduled fare ~EUR 6 one-way (Rome2Rio cites EUR 5; FB users ~EUR 8 round-trip). EUR 6 x 1.08 = $6.5. No premium fast-craft tier exists above this on so short a hop.</t>
        </is>
      </c>
      <c r="AX42" s="44" t="n"/>
    </row>
    <row r="43">
      <c r="A43" s="29" t="inlineStr">
        <is>
          <t>Bolt Estonia</t>
        </is>
      </c>
      <c r="B43" s="29" t="inlineStr">
        <is>
          <t>Estonia</t>
        </is>
      </c>
      <c r="C43" s="30" t="inlineStr">
        <is>
          <t>Tallinn → Naissaar</t>
        </is>
      </c>
      <c r="D43" s="31" t="n">
        <v>11</v>
      </c>
      <c r="E43" s="26" t="n">
        <v>10.8</v>
      </c>
      <c r="F43" s="32" t="inlineStr">
        <is>
          <t>T2</t>
        </is>
      </c>
      <c r="G43" s="32" t="inlineStr">
        <is>
          <t>med</t>
        </is>
      </c>
      <c r="H43" s="19" t="n">
        <v>1</v>
      </c>
      <c r="I43" s="33">
        <f>60*D43/cruise_kt</f>
        <v/>
      </c>
      <c r="J43" s="33">
        <f>I43+turn_min+dwell_min</f>
        <v/>
      </c>
      <c r="K43" s="34">
        <f>MIN(10,FLOOR(60*service_hr/J43,1))</f>
        <v/>
      </c>
      <c r="L43" s="34">
        <f>ROUND(365*mech_uptime*H43,0)</f>
        <v/>
      </c>
      <c r="M43" s="35">
        <f>mech_uptime</f>
        <v/>
      </c>
      <c r="N43" s="35">
        <f>revleg_sel</f>
        <v/>
      </c>
      <c r="O43" s="34">
        <f>ROUND(K43*L43*revleg_sel,0)</f>
        <v/>
      </c>
      <c r="P43" s="36">
        <f>load_sel</f>
        <v/>
      </c>
      <c r="Q43" s="36">
        <f>pax_cap*P43</f>
        <v/>
      </c>
      <c r="R43" s="34">
        <f>Q43*O43</f>
        <v/>
      </c>
      <c r="S43" s="37">
        <f>E43*discount</f>
        <v/>
      </c>
      <c r="T43" s="38">
        <f>S43*R43</f>
        <v/>
      </c>
      <c r="U43" s="38">
        <f>(battery/range_nm)*D43*O43*VLOOKUP(B43,country_opex,3,FALSE)</f>
        <v/>
      </c>
      <c r="V43" s="38">
        <f>VLOOKUP(B43,country_opex,2,FALSE)*crew_factor</f>
        <v/>
      </c>
      <c r="W43" s="38">
        <f>VLOOKUP(B43,country_opex,5,FALSE)</f>
        <v/>
      </c>
      <c r="X43" s="38">
        <f>maint</f>
        <v/>
      </c>
      <c r="Y43" s="38">
        <f>VLOOKUP(B43,country_opex,7,FALSE)*ins_pct</f>
        <v/>
      </c>
      <c r="Z43" s="38">
        <f>charge_berth</f>
        <v/>
      </c>
      <c r="AA43" s="38">
        <f>U43+V43+W43+X43+Y43+Z43</f>
        <v/>
      </c>
      <c r="AB43" s="38">
        <f>VLOOKUP(B43,country_opex,7,FALSE)/dep_years</f>
        <v/>
      </c>
      <c r="AC43" s="38">
        <f>T43-AA43</f>
        <v/>
      </c>
      <c r="AD43" s="35">
        <f>IF(T43=0,"",AC43/T43)</f>
        <v/>
      </c>
      <c r="AE43" s="36">
        <f>IF(AC43&lt;=0,"",VLOOKUP(B43,country_opex,7,FALSE)/AC43)</f>
        <v/>
      </c>
      <c r="AF43" s="33">
        <f>((D43*O43/diesel_nmpg)*diesel_co2pg-(battery/range_nm)*D43*O43*VLOOKUP(B43,country_opex,4,FALSE))/1000</f>
        <v/>
      </c>
      <c r="AG43" s="31" t="n">
        <v>50000</v>
      </c>
      <c r="AH43" s="32" t="n"/>
      <c r="AI43" s="32" t="n"/>
      <c r="AJ43" s="39" t="n">
        <v>0.1</v>
      </c>
      <c r="AK43" s="34">
        <f>IF(AG43="","",AG43*AJ43)</f>
        <v/>
      </c>
      <c r="AL43" s="34">
        <f>IF(OR(AG43="",R43=0),"",MIN(IF(AS43="",9.9E+99,AS43),FLOOR(AK43/R43,1)))</f>
        <v/>
      </c>
      <c r="AM43" s="38">
        <f>IF(AL43="","",AL43*T43)</f>
        <v/>
      </c>
      <c r="AN43" s="36">
        <f>IF(OR(AG43="",R43=0),"",MIN(IF(AS43="",9.9E+99,AS43),AK43/R43))</f>
        <v/>
      </c>
      <c r="AO43" s="38">
        <f>IF(AN43="","",AN43*T43)</f>
        <v/>
      </c>
      <c r="AP43" s="40" t="n"/>
      <c r="AQ43" s="41" t="n"/>
      <c r="AR43" s="41" t="n"/>
      <c r="AS43" s="42" t="n"/>
      <c r="AT43" s="43">
        <f>IF(((S43*pax_cap*load_thin*ROUND(K43*L43*revleg_thin,0))-(((battery/range_nm)*D43*ROUND(K43*L43*revleg_thin,0)*VLOOKUP(B43,country_opex,3,FALSE))+V43+W43+X43+Y43+Z43))&lt;=0,"",VLOOKUP(B43,country_opex,7,FALSE)/((S43*pax_cap*load_thin*ROUND(K43*L43*revleg_thin,0))-(((battery/range_nm)*D43*ROUND(K43*L43*revleg_thin,0)*VLOOKUP(B43,country_opex,3,FALSE))+V43+W43+X43+Y43+Z43)))</f>
        <v/>
      </c>
      <c r="AU43" s="43">
        <f>IF(((S43*pax_cap*load_mid*ROUND(K43*L43*revleg_mid,0))-(((battery/range_nm)*D43*ROUND(K43*L43*revleg_mid,0)*VLOOKUP(B43,country_opex,3,FALSE))+V43+W43+X43+Y43+Z43))&lt;=0,"",VLOOKUP(B43,country_opex,7,FALSE)/((S43*pax_cap*load_mid*ROUND(K43*L43*revleg_mid,0))-(((battery/range_nm)*D43*ROUND(K43*L43*revleg_mid,0)*VLOOKUP(B43,country_opex,3,FALSE))+V43+W43+X43+Y43+Z43)))</f>
        <v/>
      </c>
      <c r="AV43" s="43">
        <f>IF(((S43*pax_cap*load_full*ROUND(K43*L43*revleg_full,0))-(((battery/range_nm)*D43*ROUND(K43*L43*revleg_full,0)*VLOOKUP(B43,country_opex,3,FALSE))+V43+W43+X43+Y43+Z43))&lt;=0,"",VLOOKUP(B43,country_opex,7,FALSE)/((S43*pax_cap*load_full*ROUND(K43*L43*revleg_full,0))-(((battery/range_nm)*D43*ROUND(K43*L43*revleg_full,0)*VLOOKUP(B43,country_opex,3,FALSE))+V43+W43+X43+Y43+Z43)))</f>
        <v/>
      </c>
      <c r="AW43" s="44" t="inlineStr">
        <is>
          <t>Sunlines 'Strande' (300 pax) adult scheduled fare EUR 10 one-way / EUR 20 round-trip, departing Linnahall 11:00. EUR 10 x 1.08 = $10.8.</t>
        </is>
      </c>
      <c r="AX43" s="44" t="n"/>
    </row>
    <row r="44">
      <c r="A44" s="29" t="inlineStr">
        <is>
          <t>Bolt Estonia</t>
        </is>
      </c>
      <c r="B44" s="29" t="inlineStr">
        <is>
          <t>Estonia</t>
        </is>
      </c>
      <c r="C44" s="30" t="inlineStr">
        <is>
          <t>Tallinn → Helsinki</t>
        </is>
      </c>
      <c r="D44" s="31" t="n">
        <v>43</v>
      </c>
      <c r="E44" s="26" t="n">
        <v>27</v>
      </c>
      <c r="F44" s="32" t="inlineStr">
        <is>
          <t>T2</t>
        </is>
      </c>
      <c r="G44" s="32" t="inlineStr">
        <is>
          <t>med</t>
        </is>
      </c>
      <c r="H44" s="19" t="n">
        <v>1</v>
      </c>
      <c r="I44" s="33">
        <f>60*D44/cruise_kt</f>
        <v/>
      </c>
      <c r="J44" s="33">
        <f>I44+turn_min+dwell_min</f>
        <v/>
      </c>
      <c r="K44" s="34">
        <f>MIN(10,FLOOR(60*service_hr/J44,1))</f>
        <v/>
      </c>
      <c r="L44" s="34">
        <f>ROUND(365*mech_uptime*H44,0)</f>
        <v/>
      </c>
      <c r="M44" s="35">
        <f>mech_uptime</f>
        <v/>
      </c>
      <c r="N44" s="35">
        <f>revleg_sel</f>
        <v/>
      </c>
      <c r="O44" s="34">
        <f>ROUND(K44*L44*revleg_sel,0)</f>
        <v/>
      </c>
      <c r="P44" s="36">
        <f>load_sel</f>
        <v/>
      </c>
      <c r="Q44" s="36">
        <f>pax_cap*P44</f>
        <v/>
      </c>
      <c r="R44" s="34">
        <f>Q44*O44</f>
        <v/>
      </c>
      <c r="S44" s="37">
        <f>E44*discount</f>
        <v/>
      </c>
      <c r="T44" s="38">
        <f>S44*R44</f>
        <v/>
      </c>
      <c r="U44" s="38">
        <f>(battery/range_nm)*D44*O44*VLOOKUP(B44,country_opex,3,FALSE)</f>
        <v/>
      </c>
      <c r="V44" s="38">
        <f>VLOOKUP(B44,country_opex,2,FALSE)*crew_factor</f>
        <v/>
      </c>
      <c r="W44" s="38">
        <f>VLOOKUP(B44,country_opex,5,FALSE)</f>
        <v/>
      </c>
      <c r="X44" s="38">
        <f>maint</f>
        <v/>
      </c>
      <c r="Y44" s="38">
        <f>VLOOKUP(B44,country_opex,7,FALSE)*ins_pct</f>
        <v/>
      </c>
      <c r="Z44" s="38">
        <f>charge_berth</f>
        <v/>
      </c>
      <c r="AA44" s="38">
        <f>U44+V44+W44+X44+Y44+Z44</f>
        <v/>
      </c>
      <c r="AB44" s="38">
        <f>VLOOKUP(B44,country_opex,7,FALSE)/dep_years</f>
        <v/>
      </c>
      <c r="AC44" s="38">
        <f>T44-AA44</f>
        <v/>
      </c>
      <c r="AD44" s="35">
        <f>IF(T44=0,"",AC44/T44)</f>
        <v/>
      </c>
      <c r="AE44" s="36">
        <f>IF(AC44&lt;=0,"",VLOOKUP(B44,country_opex,7,FALSE)/AC44)</f>
        <v/>
      </c>
      <c r="AF44" s="33">
        <f>((D44*O44/diesel_nmpg)*diesel_co2pg-(battery/range_nm)*D44*O44*VLOOKUP(B44,country_opex,4,FALSE))/1000</f>
        <v/>
      </c>
      <c r="AG44" s="31" t="n">
        <v>750000</v>
      </c>
      <c r="AH44" s="32" t="n"/>
      <c r="AI44" s="32" t="inlineStr">
        <is>
          <t>med</t>
        </is>
      </c>
      <c r="AJ44" s="39" t="n">
        <v>0.25</v>
      </c>
      <c r="AK44" s="34">
        <f>IF(AG44="","",AG44*AJ44)</f>
        <v/>
      </c>
      <c r="AL44" s="34">
        <f>IF(OR(AG44="",R44=0),"",MIN(IF(AS44="",9.9E+99,AS44),FLOOR(AK44/R44,1)))</f>
        <v/>
      </c>
      <c r="AM44" s="38">
        <f>IF(AL44="","",AL44*T44)</f>
        <v/>
      </c>
      <c r="AN44" s="36">
        <f>IF(OR(AG44="",R44=0),"",MIN(IF(AS44="",9.9E+99,AS44),AK44/R44))</f>
        <v/>
      </c>
      <c r="AO44" s="38">
        <f>IF(AN44="","",AN44*T44)</f>
        <v/>
      </c>
      <c r="AP44" s="40" t="n"/>
      <c r="AQ44" s="41" t="n"/>
      <c r="AR44" s="41" t="n"/>
      <c r="AS44" s="42" t="n"/>
      <c r="AT44" s="43">
        <f>IF(((S44*pax_cap*load_thin*ROUND(K44*L44*revleg_thin,0))-(((battery/range_nm)*D44*ROUND(K44*L44*revleg_thin,0)*VLOOKUP(B44,country_opex,3,FALSE))+V44+W44+X44+Y44+Z44))&lt;=0,"",VLOOKUP(B44,country_opex,7,FALSE)/((S44*pax_cap*load_thin*ROUND(K44*L44*revleg_thin,0))-(((battery/range_nm)*D44*ROUND(K44*L44*revleg_thin,0)*VLOOKUP(B44,country_opex,3,FALSE))+V44+W44+X44+Y44+Z44)))</f>
        <v/>
      </c>
      <c r="AU44" s="43">
        <f>IF(((S44*pax_cap*load_mid*ROUND(K44*L44*revleg_mid,0))-(((battery/range_nm)*D44*ROUND(K44*L44*revleg_mid,0)*VLOOKUP(B44,country_opex,3,FALSE))+V44+W44+X44+Y44+Z44))&lt;=0,"",VLOOKUP(B44,country_opex,7,FALSE)/((S44*pax_cap*load_mid*ROUND(K44*L44*revleg_mid,0))-(((battery/range_nm)*D44*ROUND(K44*L44*revleg_mid,0)*VLOOKUP(B44,country_opex,3,FALSE))+V44+W44+X44+Y44+Z44)))</f>
        <v/>
      </c>
      <c r="AV44" s="43">
        <f>IF(((S44*pax_cap*load_full*ROUND(K44*L44*revleg_full,0))-(((battery/range_nm)*D44*ROUND(K44*L44*revleg_full,0)*VLOOKUP(B44,country_opex,3,FALSE))+V44+W44+X44+Y44+Z44))&lt;=0,"",VLOOKUP(B44,country_opex,7,FALSE)/((S44*pax_cap*load_full*ROUND(K44*L44*revleg_full,0))-(((battery/range_nm)*D44*ROUND(K44*L44*revleg_full,0)*VLOOKUP(B44,country_opex,3,FALSE))+V44+W44+X44+Y44+Z44)))</f>
        <v/>
      </c>
      <c r="AW44" s="44" t="inlineStr">
        <is>
          <t>PREMIUM tier: standard adult walk-up fast-ferry seat ~EUR 25 (range EUR 18-35 by season/operator/advance; Tallink Megastar/MyStar, Viking from EUR 18, Eckero). EUR 25 x 1.08 = $27.0.</t>
        </is>
      </c>
      <c r="AX44" s="44" t="n"/>
    </row>
    <row r="45">
      <c r="A45" s="29" t="inlineStr">
        <is>
          <t>Bolt Finland</t>
        </is>
      </c>
      <c r="B45" s="29" t="inlineStr">
        <is>
          <t>Finland</t>
        </is>
      </c>
      <c r="C45" s="30" t="inlineStr">
        <is>
          <t>Helsinki → Lonna</t>
        </is>
      </c>
      <c r="D45" s="31" t="n">
        <v>1.2</v>
      </c>
      <c r="E45" s="26" t="n">
        <v>8.640000000000001</v>
      </c>
      <c r="F45" s="32" t="inlineStr">
        <is>
          <t>T2</t>
        </is>
      </c>
      <c r="G45" s="32" t="inlineStr">
        <is>
          <t>med</t>
        </is>
      </c>
      <c r="H45" s="19" t="n">
        <v>1</v>
      </c>
      <c r="I45" s="33">
        <f>60*D45/cruise_kt</f>
        <v/>
      </c>
      <c r="J45" s="33">
        <f>I45+turn_min+dwell_min</f>
        <v/>
      </c>
      <c r="K45" s="34">
        <f>MIN(10,FLOOR(60*service_hr/J45,1))</f>
        <v/>
      </c>
      <c r="L45" s="34">
        <f>ROUND(365*mech_uptime*H45,0)</f>
        <v/>
      </c>
      <c r="M45" s="35">
        <f>mech_uptime</f>
        <v/>
      </c>
      <c r="N45" s="35">
        <f>revleg_sel</f>
        <v/>
      </c>
      <c r="O45" s="34">
        <f>ROUND(K45*L45*revleg_sel,0)</f>
        <v/>
      </c>
      <c r="P45" s="36">
        <f>load_sel</f>
        <v/>
      </c>
      <c r="Q45" s="36">
        <f>pax_cap*P45</f>
        <v/>
      </c>
      <c r="R45" s="34">
        <f>Q45*O45</f>
        <v/>
      </c>
      <c r="S45" s="37">
        <f>E45*discount</f>
        <v/>
      </c>
      <c r="T45" s="38">
        <f>S45*R45</f>
        <v/>
      </c>
      <c r="U45" s="38">
        <f>(battery/range_nm)*D45*O45*VLOOKUP(B45,country_opex,3,FALSE)</f>
        <v/>
      </c>
      <c r="V45" s="38">
        <f>VLOOKUP(B45,country_opex,2,FALSE)*crew_factor</f>
        <v/>
      </c>
      <c r="W45" s="38">
        <f>VLOOKUP(B45,country_opex,5,FALSE)</f>
        <v/>
      </c>
      <c r="X45" s="38">
        <f>maint</f>
        <v/>
      </c>
      <c r="Y45" s="38">
        <f>VLOOKUP(B45,country_opex,7,FALSE)*ins_pct</f>
        <v/>
      </c>
      <c r="Z45" s="38">
        <f>charge_berth</f>
        <v/>
      </c>
      <c r="AA45" s="38">
        <f>U45+V45+W45+X45+Y45+Z45</f>
        <v/>
      </c>
      <c r="AB45" s="38">
        <f>VLOOKUP(B45,country_opex,7,FALSE)/dep_years</f>
        <v/>
      </c>
      <c r="AC45" s="38">
        <f>T45-AA45</f>
        <v/>
      </c>
      <c r="AD45" s="35">
        <f>IF(T45=0,"",AC45/T45)</f>
        <v/>
      </c>
      <c r="AE45" s="36">
        <f>IF(AC45&lt;=0,"",VLOOKUP(B45,country_opex,7,FALSE)/AC45)</f>
        <v/>
      </c>
      <c r="AF45" s="33">
        <f>((D45*O45/diesel_nmpg)*diesel_co2pg-(battery/range_nm)*D45*O45*VLOOKUP(B45,country_opex,4,FALSE))/1000</f>
        <v/>
      </c>
      <c r="AG45" s="31" t="n"/>
      <c r="AH45" s="32" t="n"/>
      <c r="AI45" s="32" t="n"/>
      <c r="AJ45" s="39" t="n">
        <v>0.1</v>
      </c>
      <c r="AK45" s="34">
        <f>IF(AG45="","",AG45*AJ45)</f>
        <v/>
      </c>
      <c r="AL45" s="34">
        <f>IF(OR(AG45="",R45=0),"",MIN(IF(AS45="",9.9E+99,AS45),FLOOR(AK45/R45,1)))</f>
        <v/>
      </c>
      <c r="AM45" s="38">
        <f>IF(AL45="","",AL45*T45)</f>
        <v/>
      </c>
      <c r="AN45" s="36">
        <f>IF(OR(AG45="",R45=0),"",MIN(IF(AS45="",9.9E+99,AS45),AK45/R45))</f>
        <v/>
      </c>
      <c r="AO45" s="38">
        <f>IF(AN45="","",AN45*T45)</f>
        <v/>
      </c>
      <c r="AP45" s="40" t="n"/>
      <c r="AQ45" s="41" t="n"/>
      <c r="AR45" s="41" t="n"/>
      <c r="AS45" s="42" t="n"/>
      <c r="AT45" s="43">
        <f>IF(((S45*pax_cap*load_thin*ROUND(K45*L45*revleg_thin,0))-(((battery/range_nm)*D45*ROUND(K45*L45*revleg_thin,0)*VLOOKUP(B45,country_opex,3,FALSE))+V45+W45+X45+Y45+Z45))&lt;=0,"",VLOOKUP(B45,country_opex,7,FALSE)/((S45*pax_cap*load_thin*ROUND(K45*L45*revleg_thin,0))-(((battery/range_nm)*D45*ROUND(K45*L45*revleg_thin,0)*VLOOKUP(B45,country_opex,3,FALSE))+V45+W45+X45+Y45+Z45)))</f>
        <v/>
      </c>
      <c r="AU45" s="43">
        <f>IF(((S45*pax_cap*load_mid*ROUND(K45*L45*revleg_mid,0))-(((battery/range_nm)*D45*ROUND(K45*L45*revleg_mid,0)*VLOOKUP(B45,country_opex,3,FALSE))+V45+W45+X45+Y45+Z45))&lt;=0,"",VLOOKUP(B45,country_opex,7,FALSE)/((S45*pax_cap*load_mid*ROUND(K45*L45*revleg_mid,0))-(((battery/range_nm)*D45*ROUND(K45*L45*revleg_mid,0)*VLOOKUP(B45,country_opex,3,FALSE))+V45+W45+X45+Y45+Z45)))</f>
        <v/>
      </c>
      <c r="AV45" s="43">
        <f>IF(((S45*pax_cap*load_full*ROUND(K45*L45*revleg_full,0))-(((battery/range_nm)*D45*ROUND(K45*L45*revleg_full,0)*VLOOKUP(B45,country_opex,3,FALSE))+V45+W45+X45+Y45+Z45))&lt;=0,"",VLOOKUP(B45,country_opex,7,FALSE)/((S45*pax_cap*load_full*ROUND(K45*L45*revleg_full,0))-(((battery/range_nm)*D45*ROUND(K45*L45*revleg_full,0)*VLOOKUP(B45,country_opex,3,FALSE))+V45+W45+X45+Y45+Z45)))</f>
        <v/>
      </c>
      <c r="AW45" s="44" t="inlineStr">
        <is>
          <t>JT-Line Kauppatori-&gt;Lonna adult fare EUR 8 (Rome2Rio; 10 min). EUR 8 x 1.08 = $8.64.</t>
        </is>
      </c>
      <c r="AX45" s="44" t="n"/>
    </row>
    <row r="46">
      <c r="A46" s="29" t="inlineStr">
        <is>
          <t>Bolt Finland</t>
        </is>
      </c>
      <c r="B46" s="29" t="inlineStr">
        <is>
          <t>Finland</t>
        </is>
      </c>
      <c r="C46" s="30" t="inlineStr">
        <is>
          <t>Helsinki Market Square → Suomenlinna</t>
        </is>
      </c>
      <c r="D46" s="31" t="n">
        <v>1.5</v>
      </c>
      <c r="E46" s="26" t="n">
        <v>8.640000000000001</v>
      </c>
      <c r="F46" s="32" t="inlineStr">
        <is>
          <t>T2</t>
        </is>
      </c>
      <c r="G46" s="32" t="inlineStr">
        <is>
          <t>med</t>
        </is>
      </c>
      <c r="H46" s="19" t="n">
        <v>1</v>
      </c>
      <c r="I46" s="33">
        <f>60*D46/cruise_kt</f>
        <v/>
      </c>
      <c r="J46" s="33">
        <f>I46+turn_min+dwell_min</f>
        <v/>
      </c>
      <c r="K46" s="34">
        <f>MIN(10,FLOOR(60*service_hr/J46,1))</f>
        <v/>
      </c>
      <c r="L46" s="34">
        <f>ROUND(365*mech_uptime*H46,0)</f>
        <v/>
      </c>
      <c r="M46" s="35">
        <f>mech_uptime</f>
        <v/>
      </c>
      <c r="N46" s="35">
        <f>revleg_sel</f>
        <v/>
      </c>
      <c r="O46" s="34">
        <f>ROUND(K46*L46*revleg_sel,0)</f>
        <v/>
      </c>
      <c r="P46" s="36">
        <f>load_sel</f>
        <v/>
      </c>
      <c r="Q46" s="36">
        <f>pax_cap*P46</f>
        <v/>
      </c>
      <c r="R46" s="34">
        <f>Q46*O46</f>
        <v/>
      </c>
      <c r="S46" s="37">
        <f>E46*discount</f>
        <v/>
      </c>
      <c r="T46" s="38">
        <f>S46*R46</f>
        <v/>
      </c>
      <c r="U46" s="38">
        <f>(battery/range_nm)*D46*O46*VLOOKUP(B46,country_opex,3,FALSE)</f>
        <v/>
      </c>
      <c r="V46" s="38">
        <f>VLOOKUP(B46,country_opex,2,FALSE)*crew_factor</f>
        <v/>
      </c>
      <c r="W46" s="38">
        <f>VLOOKUP(B46,country_opex,5,FALSE)</f>
        <v/>
      </c>
      <c r="X46" s="38">
        <f>maint</f>
        <v/>
      </c>
      <c r="Y46" s="38">
        <f>VLOOKUP(B46,country_opex,7,FALSE)*ins_pct</f>
        <v/>
      </c>
      <c r="Z46" s="38">
        <f>charge_berth</f>
        <v/>
      </c>
      <c r="AA46" s="38">
        <f>U46+V46+W46+X46+Y46+Z46</f>
        <v/>
      </c>
      <c r="AB46" s="38">
        <f>VLOOKUP(B46,country_opex,7,FALSE)/dep_years</f>
        <v/>
      </c>
      <c r="AC46" s="38">
        <f>T46-AA46</f>
        <v/>
      </c>
      <c r="AD46" s="35">
        <f>IF(T46=0,"",AC46/T46)</f>
        <v/>
      </c>
      <c r="AE46" s="36">
        <f>IF(AC46&lt;=0,"",VLOOKUP(B46,country_opex,7,FALSE)/AC46)</f>
        <v/>
      </c>
      <c r="AF46" s="33">
        <f>((D46*O46/diesel_nmpg)*diesel_co2pg-(battery/range_nm)*D46*O46*VLOOKUP(B46,country_opex,4,FALSE))/1000</f>
        <v/>
      </c>
      <c r="AG46" s="31" t="n">
        <v>1000000</v>
      </c>
      <c r="AH46" s="32" t="n"/>
      <c r="AI46" s="32" t="n"/>
      <c r="AJ46" s="39" t="n">
        <v>0.1</v>
      </c>
      <c r="AK46" s="34">
        <f>IF(AG46="","",AG46*AJ46)</f>
        <v/>
      </c>
      <c r="AL46" s="34">
        <f>IF(OR(AG46="",R46=0),"",MIN(IF(AS46="",9.9E+99,AS46),FLOOR(AK46/R46,1)))</f>
        <v/>
      </c>
      <c r="AM46" s="38">
        <f>IF(AL46="","",AL46*T46)</f>
        <v/>
      </c>
      <c r="AN46" s="36">
        <f>IF(OR(AG46="",R46=0),"",MIN(IF(AS46="",9.9E+99,AS46),AK46/R46))</f>
        <v/>
      </c>
      <c r="AO46" s="38">
        <f>IF(AN46="","",AN46*T46)</f>
        <v/>
      </c>
      <c r="AP46" s="40" t="n"/>
      <c r="AQ46" s="41" t="n"/>
      <c r="AR46" s="41" t="n"/>
      <c r="AS46" s="42" t="n"/>
      <c r="AT46" s="43">
        <f>IF(((S46*pax_cap*load_thin*ROUND(K46*L46*revleg_thin,0))-(((battery/range_nm)*D46*ROUND(K46*L46*revleg_thin,0)*VLOOKUP(B46,country_opex,3,FALSE))+V46+W46+X46+Y46+Z46))&lt;=0,"",VLOOKUP(B46,country_opex,7,FALSE)/((S46*pax_cap*load_thin*ROUND(K46*L46*revleg_thin,0))-(((battery/range_nm)*D46*ROUND(K46*L46*revleg_thin,0)*VLOOKUP(B46,country_opex,3,FALSE))+V46+W46+X46+Y46+Z46)))</f>
        <v/>
      </c>
      <c r="AU46" s="43">
        <f>IF(((S46*pax_cap*load_mid*ROUND(K46*L46*revleg_mid,0))-(((battery/range_nm)*D46*ROUND(K46*L46*revleg_mid,0)*VLOOKUP(B46,country_opex,3,FALSE))+V46+W46+X46+Y46+Z46))&lt;=0,"",VLOOKUP(B46,country_opex,7,FALSE)/((S46*pax_cap*load_mid*ROUND(K46*L46*revleg_mid,0))-(((battery/range_nm)*D46*ROUND(K46*L46*revleg_mid,0)*VLOOKUP(B46,country_opex,3,FALSE))+V46+W46+X46+Y46+Z46)))</f>
        <v/>
      </c>
      <c r="AV46" s="43">
        <f>IF(((S46*pax_cap*load_full*ROUND(K46*L46*revleg_full,0))-(((battery/range_nm)*D46*ROUND(K46*L46*revleg_full,0)*VLOOKUP(B46,country_opex,3,FALSE))+V46+W46+X46+Y46+Z46))&lt;=0,"",VLOOKUP(B46,country_opex,7,FALSE)/((S46*pax_cap*load_full*ROUND(K46*L46*revleg_full,0))-(((battery/range_nm)*D46*ROUND(K46*L46*revleg_full,0)*VLOOKUP(B46,country_opex,3,FALSE))+V46+W46+X46+Y46+Z46)))</f>
        <v/>
      </c>
      <c r="AW46" s="44" t="inlineStr">
        <is>
          <t>PREMIUM leisure tier: JT-Line-style adult archipelago ferry seat ~EUR 8 (the comparable premium per-seat on the Helsinki island web; JT-Line ran a Market Square-&gt;Suomenlinna waterbus at this tier until 2022). EUR 8 x 1.08 = $8.64.</t>
        </is>
      </c>
      <c r="AX46" s="44" t="n"/>
    </row>
    <row r="47">
      <c r="A47" s="29" t="inlineStr">
        <is>
          <t>Bolt Finland</t>
        </is>
      </c>
      <c r="B47" s="29" t="inlineStr">
        <is>
          <t>Finland</t>
        </is>
      </c>
      <c r="C47" s="30" t="inlineStr">
        <is>
          <t>Helsinki → Pihlajasaari</t>
        </is>
      </c>
      <c r="D47" s="31" t="n">
        <v>1.5</v>
      </c>
      <c r="E47" s="26" t="n">
        <v>8.640000000000001</v>
      </c>
      <c r="F47" s="32" t="inlineStr">
        <is>
          <t>T2</t>
        </is>
      </c>
      <c r="G47" s="32" t="inlineStr">
        <is>
          <t>med</t>
        </is>
      </c>
      <c r="H47" s="19" t="n">
        <v>1</v>
      </c>
      <c r="I47" s="33">
        <f>60*D47/cruise_kt</f>
        <v/>
      </c>
      <c r="J47" s="33">
        <f>I47+turn_min+dwell_min</f>
        <v/>
      </c>
      <c r="K47" s="34">
        <f>MIN(10,FLOOR(60*service_hr/J47,1))</f>
        <v/>
      </c>
      <c r="L47" s="34">
        <f>ROUND(365*mech_uptime*H47,0)</f>
        <v/>
      </c>
      <c r="M47" s="35">
        <f>mech_uptime</f>
        <v/>
      </c>
      <c r="N47" s="35">
        <f>revleg_sel</f>
        <v/>
      </c>
      <c r="O47" s="34">
        <f>ROUND(K47*L47*revleg_sel,0)</f>
        <v/>
      </c>
      <c r="P47" s="36">
        <f>load_sel</f>
        <v/>
      </c>
      <c r="Q47" s="36">
        <f>pax_cap*P47</f>
        <v/>
      </c>
      <c r="R47" s="34">
        <f>Q47*O47</f>
        <v/>
      </c>
      <c r="S47" s="37">
        <f>E47*discount</f>
        <v/>
      </c>
      <c r="T47" s="38">
        <f>S47*R47</f>
        <v/>
      </c>
      <c r="U47" s="38">
        <f>(battery/range_nm)*D47*O47*VLOOKUP(B47,country_opex,3,FALSE)</f>
        <v/>
      </c>
      <c r="V47" s="38">
        <f>VLOOKUP(B47,country_opex,2,FALSE)*crew_factor</f>
        <v/>
      </c>
      <c r="W47" s="38">
        <f>VLOOKUP(B47,country_opex,5,FALSE)</f>
        <v/>
      </c>
      <c r="X47" s="38">
        <f>maint</f>
        <v/>
      </c>
      <c r="Y47" s="38">
        <f>VLOOKUP(B47,country_opex,7,FALSE)*ins_pct</f>
        <v/>
      </c>
      <c r="Z47" s="38">
        <f>charge_berth</f>
        <v/>
      </c>
      <c r="AA47" s="38">
        <f>U47+V47+W47+X47+Y47+Z47</f>
        <v/>
      </c>
      <c r="AB47" s="38">
        <f>VLOOKUP(B47,country_opex,7,FALSE)/dep_years</f>
        <v/>
      </c>
      <c r="AC47" s="38">
        <f>T47-AA47</f>
        <v/>
      </c>
      <c r="AD47" s="35">
        <f>IF(T47=0,"",AC47/T47)</f>
        <v/>
      </c>
      <c r="AE47" s="36">
        <f>IF(AC47&lt;=0,"",VLOOKUP(B47,country_opex,7,FALSE)/AC47)</f>
        <v/>
      </c>
      <c r="AF47" s="33">
        <f>((D47*O47/diesel_nmpg)*diesel_co2pg-(battery/range_nm)*D47*O47*VLOOKUP(B47,country_opex,4,FALSE))/1000</f>
        <v/>
      </c>
      <c r="AG47" s="31" t="n"/>
      <c r="AH47" s="32" t="n"/>
      <c r="AI47" s="32" t="n"/>
      <c r="AJ47" s="39" t="n">
        <v>0.1</v>
      </c>
      <c r="AK47" s="34">
        <f>IF(AG47="","",AG47*AJ47)</f>
        <v/>
      </c>
      <c r="AL47" s="34">
        <f>IF(OR(AG47="",R47=0),"",MIN(IF(AS47="",9.9E+99,AS47),FLOOR(AK47/R47,1)))</f>
        <v/>
      </c>
      <c r="AM47" s="38">
        <f>IF(AL47="","",AL47*T47)</f>
        <v/>
      </c>
      <c r="AN47" s="36">
        <f>IF(OR(AG47="",R47=0),"",MIN(IF(AS47="",9.9E+99,AS47),AK47/R47))</f>
        <v/>
      </c>
      <c r="AO47" s="38">
        <f>IF(AN47="","",AN47*T47)</f>
        <v/>
      </c>
      <c r="AP47" s="40" t="n"/>
      <c r="AQ47" s="41" t="n"/>
      <c r="AR47" s="41" t="n"/>
      <c r="AS47" s="42" t="n"/>
      <c r="AT47" s="43">
        <f>IF(((S47*pax_cap*load_thin*ROUND(K47*L47*revleg_thin,0))-(((battery/range_nm)*D47*ROUND(K47*L47*revleg_thin,0)*VLOOKUP(B47,country_opex,3,FALSE))+V47+W47+X47+Y47+Z47))&lt;=0,"",VLOOKUP(B47,country_opex,7,FALSE)/((S47*pax_cap*load_thin*ROUND(K47*L47*revleg_thin,0))-(((battery/range_nm)*D47*ROUND(K47*L47*revleg_thin,0)*VLOOKUP(B47,country_opex,3,FALSE))+V47+W47+X47+Y47+Z47)))</f>
        <v/>
      </c>
      <c r="AU47" s="43">
        <f>IF(((S47*pax_cap*load_mid*ROUND(K47*L47*revleg_mid,0))-(((battery/range_nm)*D47*ROUND(K47*L47*revleg_mid,0)*VLOOKUP(B47,country_opex,3,FALSE))+V47+W47+X47+Y47+Z47))&lt;=0,"",VLOOKUP(B47,country_opex,7,FALSE)/((S47*pax_cap*load_mid*ROUND(K47*L47*revleg_mid,0))-(((battery/range_nm)*D47*ROUND(K47*L47*revleg_mid,0)*VLOOKUP(B47,country_opex,3,FALSE))+V47+W47+X47+Y47+Z47)))</f>
        <v/>
      </c>
      <c r="AV47" s="43">
        <f>IF(((S47*pax_cap*load_full*ROUND(K47*L47*revleg_full,0))-(((battery/range_nm)*D47*ROUND(K47*L47*revleg_full,0)*VLOOKUP(B47,country_opex,3,FALSE))+V47+W47+X47+Y47+Z47))&lt;=0,"",VLOOKUP(B47,country_opex,7,FALSE)/((S47*pax_cap*load_full*ROUND(K47*L47*revleg_full,0))-(((battery/range_nm)*D47*ROUND(K47*L47*revleg_full,0)*VLOOKUP(B47,country_opex,3,FALSE))+V47+W47+X47+Y47+Z47)))</f>
        <v/>
      </c>
      <c r="AW47" s="44" t="inlineStr">
        <is>
          <t>JT-Line adult ferry seat EUR 8 (Summer 2026; EUR 9 quoted 2024). EUR 8 x 1.08 = $8.64.</t>
        </is>
      </c>
      <c r="AX47" s="44" t="n"/>
    </row>
    <row r="48">
      <c r="A48" s="29" t="inlineStr">
        <is>
          <t>Bolt Finland</t>
        </is>
      </c>
      <c r="B48" s="29" t="inlineStr">
        <is>
          <t>Finland</t>
        </is>
      </c>
      <c r="C48" s="30" t="inlineStr">
        <is>
          <t>Helsinki → Korkeasaari (Zoo island)</t>
        </is>
      </c>
      <c r="D48" s="31" t="n">
        <v>2</v>
      </c>
      <c r="E48" s="26" t="n">
        <v>8.640000000000001</v>
      </c>
      <c r="F48" s="32" t="inlineStr">
        <is>
          <t>T2</t>
        </is>
      </c>
      <c r="G48" s="32" t="inlineStr">
        <is>
          <t>med</t>
        </is>
      </c>
      <c r="H48" s="19" t="n">
        <v>1</v>
      </c>
      <c r="I48" s="33">
        <f>60*D48/cruise_kt</f>
        <v/>
      </c>
      <c r="J48" s="33">
        <f>I48+turn_min+dwell_min</f>
        <v/>
      </c>
      <c r="K48" s="34">
        <f>MIN(10,FLOOR(60*service_hr/J48,1))</f>
        <v/>
      </c>
      <c r="L48" s="34">
        <f>ROUND(365*mech_uptime*H48,0)</f>
        <v/>
      </c>
      <c r="M48" s="35">
        <f>mech_uptime</f>
        <v/>
      </c>
      <c r="N48" s="35">
        <f>revleg_sel</f>
        <v/>
      </c>
      <c r="O48" s="34">
        <f>ROUND(K48*L48*revleg_sel,0)</f>
        <v/>
      </c>
      <c r="P48" s="36">
        <f>load_sel</f>
        <v/>
      </c>
      <c r="Q48" s="36">
        <f>pax_cap*P48</f>
        <v/>
      </c>
      <c r="R48" s="34">
        <f>Q48*O48</f>
        <v/>
      </c>
      <c r="S48" s="37">
        <f>E48*discount</f>
        <v/>
      </c>
      <c r="T48" s="38">
        <f>S48*R48</f>
        <v/>
      </c>
      <c r="U48" s="38">
        <f>(battery/range_nm)*D48*O48*VLOOKUP(B48,country_opex,3,FALSE)</f>
        <v/>
      </c>
      <c r="V48" s="38">
        <f>VLOOKUP(B48,country_opex,2,FALSE)*crew_factor</f>
        <v/>
      </c>
      <c r="W48" s="38">
        <f>VLOOKUP(B48,country_opex,5,FALSE)</f>
        <v/>
      </c>
      <c r="X48" s="38">
        <f>maint</f>
        <v/>
      </c>
      <c r="Y48" s="38">
        <f>VLOOKUP(B48,country_opex,7,FALSE)*ins_pct</f>
        <v/>
      </c>
      <c r="Z48" s="38">
        <f>charge_berth</f>
        <v/>
      </c>
      <c r="AA48" s="38">
        <f>U48+V48+W48+X48+Y48+Z48</f>
        <v/>
      </c>
      <c r="AB48" s="38">
        <f>VLOOKUP(B48,country_opex,7,FALSE)/dep_years</f>
        <v/>
      </c>
      <c r="AC48" s="38">
        <f>T48-AA48</f>
        <v/>
      </c>
      <c r="AD48" s="35">
        <f>IF(T48=0,"",AC48/T48)</f>
        <v/>
      </c>
      <c r="AE48" s="36">
        <f>IF(AC48&lt;=0,"",VLOOKUP(B48,country_opex,7,FALSE)/AC48)</f>
        <v/>
      </c>
      <c r="AF48" s="33">
        <f>((D48*O48/diesel_nmpg)*diesel_co2pg-(battery/range_nm)*D48*O48*VLOOKUP(B48,country_opex,4,FALSE))/1000</f>
        <v/>
      </c>
      <c r="AG48" s="31" t="n">
        <v>500000</v>
      </c>
      <c r="AH48" s="32" t="n"/>
      <c r="AI48" s="32" t="n"/>
      <c r="AJ48" s="39" t="n">
        <v>0.1</v>
      </c>
      <c r="AK48" s="34">
        <f>IF(AG48="","",AG48*AJ48)</f>
        <v/>
      </c>
      <c r="AL48" s="34">
        <f>IF(OR(AG48="",R48=0),"",MIN(IF(AS48="",9.9E+99,AS48),FLOOR(AK48/R48,1)))</f>
        <v/>
      </c>
      <c r="AM48" s="38">
        <f>IF(AL48="","",AL48*T48)</f>
        <v/>
      </c>
      <c r="AN48" s="36">
        <f>IF(OR(AG48="",R48=0),"",MIN(IF(AS48="",9.9E+99,AS48),AK48/R48))</f>
        <v/>
      </c>
      <c r="AO48" s="38">
        <f>IF(AN48="","",AN48*T48)</f>
        <v/>
      </c>
      <c r="AP48" s="40" t="n"/>
      <c r="AQ48" s="41" t="n"/>
      <c r="AR48" s="41" t="n"/>
      <c r="AS48" s="42" t="n"/>
      <c r="AT48" s="43">
        <f>IF(((S48*pax_cap*load_thin*ROUND(K48*L48*revleg_thin,0))-(((battery/range_nm)*D48*ROUND(K48*L48*revleg_thin,0)*VLOOKUP(B48,country_opex,3,FALSE))+V48+W48+X48+Y48+Z48))&lt;=0,"",VLOOKUP(B48,country_opex,7,FALSE)/((S48*pax_cap*load_thin*ROUND(K48*L48*revleg_thin,0))-(((battery/range_nm)*D48*ROUND(K48*L48*revleg_thin,0)*VLOOKUP(B48,country_opex,3,FALSE))+V48+W48+X48+Y48+Z48)))</f>
        <v/>
      </c>
      <c r="AU48" s="43">
        <f>IF(((S48*pax_cap*load_mid*ROUND(K48*L48*revleg_mid,0))-(((battery/range_nm)*D48*ROUND(K48*L48*revleg_mid,0)*VLOOKUP(B48,country_opex,3,FALSE))+V48+W48+X48+Y48+Z48))&lt;=0,"",VLOOKUP(B48,country_opex,7,FALSE)/((S48*pax_cap*load_mid*ROUND(K48*L48*revleg_mid,0))-(((battery/range_nm)*D48*ROUND(K48*L48*revleg_mid,0)*VLOOKUP(B48,country_opex,3,FALSE))+V48+W48+X48+Y48+Z48)))</f>
        <v/>
      </c>
      <c r="AV48" s="43">
        <f>IF(((S48*pax_cap*load_full*ROUND(K48*L48*revleg_full,0))-(((battery/range_nm)*D48*ROUND(K48*L48*revleg_full,0)*VLOOKUP(B48,country_opex,3,FALSE))+V48+W48+X48+Y48+Z48))&lt;=0,"",VLOOKUP(B48,country_opex,7,FALSE)/((S48*pax_cap*load_full*ROUND(K48*L48*revleg_full,0))-(((battery/range_nm)*D48*ROUND(K48*L48*revleg_full,0)*VLOOKUP(B48,country_opex,3,FALSE))+V48+W48+X48+Y48+Z48)))</f>
        <v/>
      </c>
      <c r="AW48" s="44" t="inlineStr">
        <is>
          <t>Seasonal Market Square-&gt;Korkeasaari ferry adult seat ~EUR 8 (archipelago leisure tier; zoo admission separate). EUR 8 x 1.08 = $8.64.</t>
        </is>
      </c>
      <c r="AX48" s="44" t="n"/>
    </row>
    <row r="49">
      <c r="A49" s="29" t="inlineStr">
        <is>
          <t>Bolt Finland</t>
        </is>
      </c>
      <c r="B49" s="29" t="inlineStr">
        <is>
          <t>Finland</t>
        </is>
      </c>
      <c r="C49" s="30" t="inlineStr">
        <is>
          <t>Helsinki → Kruunuvuorenranta (Laajasalo)</t>
        </is>
      </c>
      <c r="D49" s="31" t="n">
        <v>2</v>
      </c>
      <c r="E49" s="26" t="n">
        <v>18</v>
      </c>
      <c r="F49" s="32" t="inlineStr">
        <is>
          <t>T2</t>
        </is>
      </c>
      <c r="G49" s="32" t="inlineStr">
        <is>
          <t>med</t>
        </is>
      </c>
      <c r="H49" s="19" t="n">
        <v>1</v>
      </c>
      <c r="I49" s="33">
        <f>60*D49/cruise_kt</f>
        <v/>
      </c>
      <c r="J49" s="33">
        <f>I49+turn_min+dwell_min</f>
        <v/>
      </c>
      <c r="K49" s="34">
        <f>MIN(16,FLOOR(60*service_hr/J49,1))</f>
        <v/>
      </c>
      <c r="L49" s="34">
        <f>ROUND(365*mech_uptime*H49,0)</f>
        <v/>
      </c>
      <c r="M49" s="35">
        <f>mech_uptime</f>
        <v/>
      </c>
      <c r="N49" s="35">
        <f>revleg_sel</f>
        <v/>
      </c>
      <c r="O49" s="34">
        <f>ROUND(K49*L49*revleg_sel,0)</f>
        <v/>
      </c>
      <c r="P49" s="36">
        <f>load_sel</f>
        <v/>
      </c>
      <c r="Q49" s="36">
        <f>pax_cap*P49</f>
        <v/>
      </c>
      <c r="R49" s="34">
        <f>Q49*O49</f>
        <v/>
      </c>
      <c r="S49" s="37">
        <f>E49*discount</f>
        <v/>
      </c>
      <c r="T49" s="38">
        <f>S49*R49</f>
        <v/>
      </c>
      <c r="U49" s="38">
        <f>(battery/range_nm)*D49*O49*VLOOKUP(B49,country_opex,3,FALSE)</f>
        <v/>
      </c>
      <c r="V49" s="38">
        <f>VLOOKUP(B49,country_opex,2,FALSE)*crew_factor</f>
        <v/>
      </c>
      <c r="W49" s="38">
        <f>VLOOKUP(B49,country_opex,5,FALSE)</f>
        <v/>
      </c>
      <c r="X49" s="38">
        <f>maint</f>
        <v/>
      </c>
      <c r="Y49" s="38">
        <f>VLOOKUP(B49,country_opex,7,FALSE)*ins_pct</f>
        <v/>
      </c>
      <c r="Z49" s="38">
        <f>charge_berth</f>
        <v/>
      </c>
      <c r="AA49" s="38">
        <f>U49+V49+W49+X49+Y49+Z49</f>
        <v/>
      </c>
      <c r="AB49" s="38">
        <f>VLOOKUP(B49,country_opex,7,FALSE)/dep_years</f>
        <v/>
      </c>
      <c r="AC49" s="38">
        <f>T49-AA49</f>
        <v/>
      </c>
      <c r="AD49" s="35">
        <f>IF(T49=0,"",AC49/T49)</f>
        <v/>
      </c>
      <c r="AE49" s="36">
        <f>IF(AC49&lt;=0,"",VLOOKUP(B49,country_opex,7,FALSE)/AC49)</f>
        <v/>
      </c>
      <c r="AF49" s="33">
        <f>((D49*O49/diesel_nmpg)*diesel_co2pg-(battery/range_nm)*D49*O49*VLOOKUP(B49,country_opex,4,FALSE))/1000</f>
        <v/>
      </c>
      <c r="AG49" s="31" t="n"/>
      <c r="AH49" s="32" t="n"/>
      <c r="AI49" s="32" t="n"/>
      <c r="AJ49" s="39" t="n">
        <v>0.1</v>
      </c>
      <c r="AK49" s="34">
        <f>IF(AG49="","",AG49*AJ49)</f>
        <v/>
      </c>
      <c r="AL49" s="34">
        <f>IF(OR(AG49="",R49=0),"",MIN(IF(AS49="",9.9E+99,AS49),FLOOR(AK49/R49,1)))</f>
        <v/>
      </c>
      <c r="AM49" s="38">
        <f>IF(AL49="","",AL49*T49)</f>
        <v/>
      </c>
      <c r="AN49" s="36">
        <f>IF(OR(AG49="",R49=0),"",MIN(IF(AS49="",9.9E+99,AS49),AK49/R49))</f>
        <v/>
      </c>
      <c r="AO49" s="38">
        <f>IF(AN49="","",AN49*T49)</f>
        <v/>
      </c>
      <c r="AP49" s="40" t="n"/>
      <c r="AQ49" s="41" t="n"/>
      <c r="AR49" s="41" t="n"/>
      <c r="AS49" s="42" t="n"/>
      <c r="AT49" s="43">
        <f>IF(((S49*pax_cap*load_thin*ROUND(K49*L49*revleg_thin,0))-(((battery/range_nm)*D49*ROUND(K49*L49*revleg_thin,0)*VLOOKUP(B49,country_opex,3,FALSE))+V49+W49+X49+Y49+Z49))&lt;=0,"",VLOOKUP(B49,country_opex,7,FALSE)/((S49*pax_cap*load_thin*ROUND(K49*L49*revleg_thin,0))-(((battery/range_nm)*D49*ROUND(K49*L49*revleg_thin,0)*VLOOKUP(B49,country_opex,3,FALSE))+V49+W49+X49+Y49+Z49)))</f>
        <v/>
      </c>
      <c r="AU49" s="43">
        <f>IF(((S49*pax_cap*load_mid*ROUND(K49*L49*revleg_mid,0))-(((battery/range_nm)*D49*ROUND(K49*L49*revleg_mid,0)*VLOOKUP(B49,country_opex,3,FALSE))+V49+W49+X49+Y49+Z49))&lt;=0,"",VLOOKUP(B49,country_opex,7,FALSE)/((S49*pax_cap*load_mid*ROUND(K49*L49*revleg_mid,0))-(((battery/range_nm)*D49*ROUND(K49*L49*revleg_mid,0)*VLOOKUP(B49,country_opex,3,FALSE))+V49+W49+X49+Y49+Z49)))</f>
        <v/>
      </c>
      <c r="AV49" s="43">
        <f>IF(((S49*pax_cap*load_full*ROUND(K49*L49*revleg_full,0))-(((battery/range_nm)*D49*ROUND(K49*L49*revleg_full,0)*VLOOKUP(B49,country_opex,3,FALSE))+V49+W49+X49+Y49+Z49))&lt;=0,"",VLOOKUP(B49,country_opex,7,FALSE)/((S49*pax_cap*load_full*ROUND(K49*L49*revleg_full,0))-(((battery/range_nm)*D49*ROUND(K49*L49*revleg_full,0)*VLOOKUP(B49,country_opex,3,FALSE))+V49+W49+X49+Y49+Z49)))</f>
        <v/>
      </c>
      <c r="AW49" s="44" t="inlineStr">
        <is>
          <t>[LB-255 PREMIUM RE-FARE: subsidized comparable $3.56 lifted to premium on-demand floor $18.0] HSL AB-zone single EUR 3.30 (the route is a public-transit substitute; no premium scheduled tier exists). EUR 3.30 x 1.08 = $3.56. Recorded as commuter-grade.</t>
        </is>
      </c>
      <c r="AX49" s="44" t="n"/>
    </row>
    <row r="50">
      <c r="A50" s="29" t="inlineStr">
        <is>
          <t>Bolt Finland</t>
        </is>
      </c>
      <c r="B50" s="29" t="inlineStr">
        <is>
          <t>Finland</t>
        </is>
      </c>
      <c r="C50" s="30" t="inlineStr">
        <is>
          <t>Helsinki → Vallisaari</t>
        </is>
      </c>
      <c r="D50" s="31" t="n">
        <v>2.5</v>
      </c>
      <c r="E50" s="26" t="n">
        <v>8.640000000000001</v>
      </c>
      <c r="F50" s="32" t="inlineStr">
        <is>
          <t>T2</t>
        </is>
      </c>
      <c r="G50" s="32" t="inlineStr">
        <is>
          <t>med</t>
        </is>
      </c>
      <c r="H50" s="19" t="n">
        <v>1</v>
      </c>
      <c r="I50" s="33">
        <f>60*D50/cruise_kt</f>
        <v/>
      </c>
      <c r="J50" s="33">
        <f>I50+turn_min+dwell_min</f>
        <v/>
      </c>
      <c r="K50" s="34">
        <f>MIN(10,FLOOR(60*service_hr/J50,1))</f>
        <v/>
      </c>
      <c r="L50" s="34">
        <f>ROUND(365*mech_uptime*H50,0)</f>
        <v/>
      </c>
      <c r="M50" s="35">
        <f>mech_uptime</f>
        <v/>
      </c>
      <c r="N50" s="35">
        <f>revleg_sel</f>
        <v/>
      </c>
      <c r="O50" s="34">
        <f>ROUND(K50*L50*revleg_sel,0)</f>
        <v/>
      </c>
      <c r="P50" s="36">
        <f>load_sel</f>
        <v/>
      </c>
      <c r="Q50" s="36">
        <f>pax_cap*P50</f>
        <v/>
      </c>
      <c r="R50" s="34">
        <f>Q50*O50</f>
        <v/>
      </c>
      <c r="S50" s="37">
        <f>E50*discount</f>
        <v/>
      </c>
      <c r="T50" s="38">
        <f>S50*R50</f>
        <v/>
      </c>
      <c r="U50" s="38">
        <f>(battery/range_nm)*D50*O50*VLOOKUP(B50,country_opex,3,FALSE)</f>
        <v/>
      </c>
      <c r="V50" s="38">
        <f>VLOOKUP(B50,country_opex,2,FALSE)*crew_factor</f>
        <v/>
      </c>
      <c r="W50" s="38">
        <f>VLOOKUP(B50,country_opex,5,FALSE)</f>
        <v/>
      </c>
      <c r="X50" s="38">
        <f>maint</f>
        <v/>
      </c>
      <c r="Y50" s="38">
        <f>VLOOKUP(B50,country_opex,7,FALSE)*ins_pct</f>
        <v/>
      </c>
      <c r="Z50" s="38">
        <f>charge_berth</f>
        <v/>
      </c>
      <c r="AA50" s="38">
        <f>U50+V50+W50+X50+Y50+Z50</f>
        <v/>
      </c>
      <c r="AB50" s="38">
        <f>VLOOKUP(B50,country_opex,7,FALSE)/dep_years</f>
        <v/>
      </c>
      <c r="AC50" s="38">
        <f>T50-AA50</f>
        <v/>
      </c>
      <c r="AD50" s="35">
        <f>IF(T50=0,"",AC50/T50)</f>
        <v/>
      </c>
      <c r="AE50" s="36">
        <f>IF(AC50&lt;=0,"",VLOOKUP(B50,country_opex,7,FALSE)/AC50)</f>
        <v/>
      </c>
      <c r="AF50" s="33">
        <f>((D50*O50/diesel_nmpg)*diesel_co2pg-(battery/range_nm)*D50*O50*VLOOKUP(B50,country_opex,4,FALSE))/1000</f>
        <v/>
      </c>
      <c r="AG50" s="31" t="n">
        <v>500000</v>
      </c>
      <c r="AH50" s="32" t="n"/>
      <c r="AI50" s="32" t="n"/>
      <c r="AJ50" s="39" t="n">
        <v>0.1</v>
      </c>
      <c r="AK50" s="34">
        <f>IF(AG50="","",AG50*AJ50)</f>
        <v/>
      </c>
      <c r="AL50" s="34">
        <f>IF(OR(AG50="",R50=0),"",MIN(IF(AS50="",9.9E+99,AS50),FLOOR(AK50/R50,1)))</f>
        <v/>
      </c>
      <c r="AM50" s="38">
        <f>IF(AL50="","",AL50*T50)</f>
        <v/>
      </c>
      <c r="AN50" s="36">
        <f>IF(OR(AG50="",R50=0),"",MIN(IF(AS50="",9.9E+99,AS50),AK50/R50))</f>
        <v/>
      </c>
      <c r="AO50" s="38">
        <f>IF(AN50="","",AN50*T50)</f>
        <v/>
      </c>
      <c r="AP50" s="40" t="n"/>
      <c r="AQ50" s="41" t="n"/>
      <c r="AR50" s="41" t="n"/>
      <c r="AS50" s="42" t="n"/>
      <c r="AT50" s="43">
        <f>IF(((S50*pax_cap*load_thin*ROUND(K50*L50*revleg_thin,0))-(((battery/range_nm)*D50*ROUND(K50*L50*revleg_thin,0)*VLOOKUP(B50,country_opex,3,FALSE))+V50+W50+X50+Y50+Z50))&lt;=0,"",VLOOKUP(B50,country_opex,7,FALSE)/((S50*pax_cap*load_thin*ROUND(K50*L50*revleg_thin,0))-(((battery/range_nm)*D50*ROUND(K50*L50*revleg_thin,0)*VLOOKUP(B50,country_opex,3,FALSE))+V50+W50+X50+Y50+Z50)))</f>
        <v/>
      </c>
      <c r="AU50" s="43">
        <f>IF(((S50*pax_cap*load_mid*ROUND(K50*L50*revleg_mid,0))-(((battery/range_nm)*D50*ROUND(K50*L50*revleg_mid,0)*VLOOKUP(B50,country_opex,3,FALSE))+V50+W50+X50+Y50+Z50))&lt;=0,"",VLOOKUP(B50,country_opex,7,FALSE)/((S50*pax_cap*load_mid*ROUND(K50*L50*revleg_mid,0))-(((battery/range_nm)*D50*ROUND(K50*L50*revleg_mid,0)*VLOOKUP(B50,country_opex,3,FALSE))+V50+W50+X50+Y50+Z50)))</f>
        <v/>
      </c>
      <c r="AV50" s="43">
        <f>IF(((S50*pax_cap*load_full*ROUND(K50*L50*revleg_full,0))-(((battery/range_nm)*D50*ROUND(K50*L50*revleg_full,0)*VLOOKUP(B50,country_opex,3,FALSE))+V50+W50+X50+Y50+Z50))&lt;=0,"",VLOOKUP(B50,country_opex,7,FALSE)/((S50*pax_cap*load_full*ROUND(K50*L50*revleg_full,0))-(((battery/range_nm)*D50*ROUND(K50*L50*revleg_full,0)*VLOOKUP(B50,country_opex,3,FALSE))+V50+W50+X50+Y50+Z50)))</f>
        <v/>
      </c>
      <c r="AW50" s="44" t="inlineStr">
        <is>
          <t>JT-Line adult island ferry seat ~EUR 8 (2026 island-hop tariff; EUR 9 quoted 2024). EUR 8 x 1.08 = $8.64.</t>
        </is>
      </c>
      <c r="AX50" s="44" t="n"/>
    </row>
    <row r="51">
      <c r="A51" s="29" t="inlineStr">
        <is>
          <t>Bolt Finland</t>
        </is>
      </c>
      <c r="B51" s="29" t="inlineStr">
        <is>
          <t>Finland</t>
        </is>
      </c>
      <c r="C51" s="30" t="inlineStr">
        <is>
          <t>Helsinki → Porvoo</t>
        </is>
      </c>
      <c r="D51" s="31" t="n">
        <v>26</v>
      </c>
      <c r="E51" s="26" t="n"/>
      <c r="F51" s="32" t="n"/>
      <c r="G51" s="32" t="n"/>
      <c r="H51" s="19" t="n">
        <v>1</v>
      </c>
      <c r="I51" s="33">
        <f>60*D51/cruise_kt</f>
        <v/>
      </c>
      <c r="J51" s="33">
        <f>I51+turn_min+dwell_min</f>
        <v/>
      </c>
      <c r="K51" s="34">
        <f>MIN(16,FLOOR(60*service_hr/J51,1))</f>
        <v/>
      </c>
      <c r="L51" s="34">
        <f>ROUND(365*mech_uptime*H51,0)</f>
        <v/>
      </c>
      <c r="M51" s="35">
        <f>mech_uptime</f>
        <v/>
      </c>
      <c r="N51" s="35">
        <f>revleg_sel</f>
        <v/>
      </c>
      <c r="O51" s="34">
        <f>ROUND(K51*L51*revleg_sel,0)</f>
        <v/>
      </c>
      <c r="P51" s="36">
        <f>load_sel</f>
        <v/>
      </c>
      <c r="Q51" s="36">
        <f>pax_cap*P51</f>
        <v/>
      </c>
      <c r="R51" s="34">
        <f>Q51*O51</f>
        <v/>
      </c>
      <c r="S51" s="37">
        <f>E51*discount</f>
        <v/>
      </c>
      <c r="T51" s="38">
        <f>S51*R51</f>
        <v/>
      </c>
      <c r="U51" s="38">
        <f>(battery/range_nm)*D51*O51*VLOOKUP(B51,country_opex,3,FALSE)</f>
        <v/>
      </c>
      <c r="V51" s="38">
        <f>VLOOKUP(B51,country_opex,2,FALSE)*crew_factor</f>
        <v/>
      </c>
      <c r="W51" s="38">
        <f>VLOOKUP(B51,country_opex,5,FALSE)</f>
        <v/>
      </c>
      <c r="X51" s="38">
        <f>maint</f>
        <v/>
      </c>
      <c r="Y51" s="38">
        <f>VLOOKUP(B51,country_opex,7,FALSE)*ins_pct</f>
        <v/>
      </c>
      <c r="Z51" s="38">
        <f>charge_berth</f>
        <v/>
      </c>
      <c r="AA51" s="38">
        <f>U51+V51+W51+X51+Y51+Z51</f>
        <v/>
      </c>
      <c r="AB51" s="38">
        <f>VLOOKUP(B51,country_opex,7,FALSE)/dep_years</f>
        <v/>
      </c>
      <c r="AC51" s="38">
        <f>T51-AA51</f>
        <v/>
      </c>
      <c r="AD51" s="35">
        <f>IF(T51=0,"",AC51/T51)</f>
        <v/>
      </c>
      <c r="AE51" s="36">
        <f>IF(AC51&lt;=0,"",VLOOKUP(B51,country_opex,7,FALSE)/AC51)</f>
        <v/>
      </c>
      <c r="AF51" s="33">
        <f>((D51*O51/diesel_nmpg)*diesel_co2pg-(battery/range_nm)*D51*O51*VLOOKUP(B51,country_opex,4,FALSE))/1000</f>
        <v/>
      </c>
      <c r="AG51" s="31" t="n"/>
      <c r="AH51" s="32" t="n"/>
      <c r="AI51" s="32" t="n"/>
      <c r="AJ51" s="39" t="n">
        <v>0.1</v>
      </c>
      <c r="AK51" s="34">
        <f>IF(AG51="","",AG51*AJ51)</f>
        <v/>
      </c>
      <c r="AL51" s="34">
        <f>IF(OR(AG51="",R51=0),"",MIN(IF(AS51="",9.9E+99,AS51),FLOOR(AK51/R51,1)))</f>
        <v/>
      </c>
      <c r="AM51" s="38">
        <f>IF(AL51="","",AL51*T51)</f>
        <v/>
      </c>
      <c r="AN51" s="36">
        <f>IF(OR(AG51="",R51=0),"",MIN(IF(AS51="",9.9E+99,AS51),AK51/R51))</f>
        <v/>
      </c>
      <c r="AO51" s="38">
        <f>IF(AN51="","",AN51*T51)</f>
        <v/>
      </c>
      <c r="AP51" s="40" t="n"/>
      <c r="AQ51" s="41" t="n"/>
      <c r="AR51" s="41" t="n"/>
      <c r="AS51" s="42" t="n"/>
      <c r="AT51" s="43">
        <f>IF(((S51*pax_cap*load_thin*ROUND(K51*L51*revleg_thin,0))-(((battery/range_nm)*D51*ROUND(K51*L51*revleg_thin,0)*VLOOKUP(B51,country_opex,3,FALSE))+V51+W51+X51+Y51+Z51))&lt;=0,"",VLOOKUP(B51,country_opex,7,FALSE)/((S51*pax_cap*load_thin*ROUND(K51*L51*revleg_thin,0))-(((battery/range_nm)*D51*ROUND(K51*L51*revleg_thin,0)*VLOOKUP(B51,country_opex,3,FALSE))+V51+W51+X51+Y51+Z51)))</f>
        <v/>
      </c>
      <c r="AU51" s="43">
        <f>IF(((S51*pax_cap*load_mid*ROUND(K51*L51*revleg_mid,0))-(((battery/range_nm)*D51*ROUND(K51*L51*revleg_mid,0)*VLOOKUP(B51,country_opex,3,FALSE))+V51+W51+X51+Y51+Z51))&lt;=0,"",VLOOKUP(B51,country_opex,7,FALSE)/((S51*pax_cap*load_mid*ROUND(K51*L51*revleg_mid,0))-(((battery/range_nm)*D51*ROUND(K51*L51*revleg_mid,0)*VLOOKUP(B51,country_opex,3,FALSE))+V51+W51+X51+Y51+Z51)))</f>
        <v/>
      </c>
      <c r="AV51" s="43">
        <f>IF(((S51*pax_cap*load_full*ROUND(K51*L51*revleg_full,0))-(((battery/range_nm)*D51*ROUND(K51*L51*revleg_full,0)*VLOOKUP(B51,country_opex,3,FALSE))+V51+W51+X51+Y51+Z51))&lt;=0,"",VLOOKUP(B51,country_opex,7,FALSE)/((S51*pax_cap*load_full*ROUND(K51*L51*revleg_full,0))-(((battery/range_nm)*D51*ROUND(K51*L51*revleg_full,0)*VLOOKUP(B51,country_opex,3,FALSE))+V51+W51+X51+Y51+Z51)))</f>
        <v/>
      </c>
      <c r="AW51" s="44" t="n"/>
      <c r="AX51" s="44" t="n"/>
    </row>
    <row r="52">
      <c r="A52" s="29" t="inlineStr">
        <is>
          <t>Bolt Finland</t>
        </is>
      </c>
      <c r="B52" s="29" t="inlineStr">
        <is>
          <t>Finland</t>
        </is>
      </c>
      <c r="C52" s="30" t="inlineStr">
        <is>
          <t>Helsinki → Tallinn</t>
        </is>
      </c>
      <c r="D52" s="31" t="n">
        <v>43</v>
      </c>
      <c r="E52" s="26" t="n">
        <v>27</v>
      </c>
      <c r="F52" s="32" t="inlineStr">
        <is>
          <t>T2</t>
        </is>
      </c>
      <c r="G52" s="32" t="inlineStr">
        <is>
          <t>med</t>
        </is>
      </c>
      <c r="H52" s="19" t="n">
        <v>1</v>
      </c>
      <c r="I52" s="33">
        <f>60*D52/cruise_kt</f>
        <v/>
      </c>
      <c r="J52" s="33">
        <f>I52+turn_min+dwell_min</f>
        <v/>
      </c>
      <c r="K52" s="34">
        <f>MIN(10,FLOOR(60*service_hr/J52,1))</f>
        <v/>
      </c>
      <c r="L52" s="34">
        <f>ROUND(365*mech_uptime*H52,0)</f>
        <v/>
      </c>
      <c r="M52" s="35">
        <f>mech_uptime</f>
        <v/>
      </c>
      <c r="N52" s="35">
        <f>revleg_sel</f>
        <v/>
      </c>
      <c r="O52" s="34">
        <f>ROUND(K52*L52*revleg_sel,0)</f>
        <v/>
      </c>
      <c r="P52" s="36">
        <f>load_sel</f>
        <v/>
      </c>
      <c r="Q52" s="36">
        <f>pax_cap*P52</f>
        <v/>
      </c>
      <c r="R52" s="34">
        <f>Q52*O52</f>
        <v/>
      </c>
      <c r="S52" s="37">
        <f>E52*discount</f>
        <v/>
      </c>
      <c r="T52" s="38">
        <f>S52*R52</f>
        <v/>
      </c>
      <c r="U52" s="38">
        <f>(battery/range_nm)*D52*O52*VLOOKUP(B52,country_opex,3,FALSE)</f>
        <v/>
      </c>
      <c r="V52" s="38">
        <f>VLOOKUP(B52,country_opex,2,FALSE)*crew_factor</f>
        <v/>
      </c>
      <c r="W52" s="38">
        <f>VLOOKUP(B52,country_opex,5,FALSE)</f>
        <v/>
      </c>
      <c r="X52" s="38">
        <f>maint</f>
        <v/>
      </c>
      <c r="Y52" s="38">
        <f>VLOOKUP(B52,country_opex,7,FALSE)*ins_pct</f>
        <v/>
      </c>
      <c r="Z52" s="38">
        <f>charge_berth</f>
        <v/>
      </c>
      <c r="AA52" s="38">
        <f>U52+V52+W52+X52+Y52+Z52</f>
        <v/>
      </c>
      <c r="AB52" s="38">
        <f>VLOOKUP(B52,country_opex,7,FALSE)/dep_years</f>
        <v/>
      </c>
      <c r="AC52" s="38">
        <f>T52-AA52</f>
        <v/>
      </c>
      <c r="AD52" s="35">
        <f>IF(T52=0,"",AC52/T52)</f>
        <v/>
      </c>
      <c r="AE52" s="36">
        <f>IF(AC52&lt;=0,"",VLOOKUP(B52,country_opex,7,FALSE)/AC52)</f>
        <v/>
      </c>
      <c r="AF52" s="33">
        <f>((D52*O52/diesel_nmpg)*diesel_co2pg-(battery/range_nm)*D52*O52*VLOOKUP(B52,country_opex,4,FALSE))/1000</f>
        <v/>
      </c>
      <c r="AG52" s="31" t="n">
        <v>750000</v>
      </c>
      <c r="AH52" s="32" t="n"/>
      <c r="AI52" s="32" t="inlineStr">
        <is>
          <t>med</t>
        </is>
      </c>
      <c r="AJ52" s="39" t="n">
        <v>0.25</v>
      </c>
      <c r="AK52" s="34">
        <f>IF(AG52="","",AG52*AJ52)</f>
        <v/>
      </c>
      <c r="AL52" s="34">
        <f>IF(OR(AG52="",R52=0),"",MIN(IF(AS52="",9.9E+99,AS52),FLOOR(AK52/R52,1)))</f>
        <v/>
      </c>
      <c r="AM52" s="38">
        <f>IF(AL52="","",AL52*T52)</f>
        <v/>
      </c>
      <c r="AN52" s="36">
        <f>IF(OR(AG52="",R52=0),"",MIN(IF(AS52="",9.9E+99,AS52),AK52/R52))</f>
        <v/>
      </c>
      <c r="AO52" s="38">
        <f>IF(AN52="","",AN52*T52)</f>
        <v/>
      </c>
      <c r="AP52" s="40" t="n"/>
      <c r="AQ52" s="41" t="n"/>
      <c r="AR52" s="41" t="n"/>
      <c r="AS52" s="42" t="n"/>
      <c r="AT52" s="43">
        <f>IF(((S52*pax_cap*load_thin*ROUND(K52*L52*revleg_thin,0))-(((battery/range_nm)*D52*ROUND(K52*L52*revleg_thin,0)*VLOOKUP(B52,country_opex,3,FALSE))+V52+W52+X52+Y52+Z52))&lt;=0,"",VLOOKUP(B52,country_opex,7,FALSE)/((S52*pax_cap*load_thin*ROUND(K52*L52*revleg_thin,0))-(((battery/range_nm)*D52*ROUND(K52*L52*revleg_thin,0)*VLOOKUP(B52,country_opex,3,FALSE))+V52+W52+X52+Y52+Z52)))</f>
        <v/>
      </c>
      <c r="AU52" s="43">
        <f>IF(((S52*pax_cap*load_mid*ROUND(K52*L52*revleg_mid,0))-(((battery/range_nm)*D52*ROUND(K52*L52*revleg_mid,0)*VLOOKUP(B52,country_opex,3,FALSE))+V52+W52+X52+Y52+Z52))&lt;=0,"",VLOOKUP(B52,country_opex,7,FALSE)/((S52*pax_cap*load_mid*ROUND(K52*L52*revleg_mid,0))-(((battery/range_nm)*D52*ROUND(K52*L52*revleg_mid,0)*VLOOKUP(B52,country_opex,3,FALSE))+V52+W52+X52+Y52+Z52)))</f>
        <v/>
      </c>
      <c r="AV52" s="43">
        <f>IF(((S52*pax_cap*load_full*ROUND(K52*L52*revleg_full,0))-(((battery/range_nm)*D52*ROUND(K52*L52*revleg_full,0)*VLOOKUP(B52,country_opex,3,FALSE))+V52+W52+X52+Y52+Z52))&lt;=0,"",VLOOKUP(B52,country_opex,7,FALSE)/((S52*pax_cap*load_full*ROUND(K52*L52*revleg_full,0))-(((battery/range_nm)*D52*ROUND(K52*L52*revleg_full,0)*VLOOKUP(B52,country_opex,3,FALSE))+V52+W52+X52+Y52+Z52)))</f>
        <v/>
      </c>
      <c r="AW52" s="44" t="inlineStr">
        <is>
          <t>PREMIUM tier: standard adult walk-up fast-ferry seat ~EUR 25 (range EUR 18-35 by season/operator/advance; Tallink Megastar/MyStar, Viking from EUR 18, Eckero). EUR 25 x 1.08 = $27.0.</t>
        </is>
      </c>
      <c r="AX52" s="44" t="n"/>
    </row>
    <row r="53">
      <c r="A53" s="29" t="inlineStr">
        <is>
          <t>Bolt France Riviera</t>
        </is>
      </c>
      <c r="B53" s="29" t="inlineStr">
        <is>
          <t>France</t>
        </is>
      </c>
      <c r="C53" s="30" t="inlineStr">
        <is>
          <t>Cannes → Ile Sainte-Marguerite (Iles de Lerins)</t>
        </is>
      </c>
      <c r="D53" s="31" t="n">
        <v>1.5</v>
      </c>
      <c r="E53" s="26" t="n">
        <v>10.3</v>
      </c>
      <c r="F53" s="32" t="inlineStr">
        <is>
          <t>T2</t>
        </is>
      </c>
      <c r="G53" s="32" t="inlineStr">
        <is>
          <t>med</t>
        </is>
      </c>
      <c r="H53" s="19" t="n">
        <v>1</v>
      </c>
      <c r="I53" s="33">
        <f>60*D53/cruise_kt</f>
        <v/>
      </c>
      <c r="J53" s="33">
        <f>I53+turn_min+dwell_min</f>
        <v/>
      </c>
      <c r="K53" s="34">
        <f>MIN(10,FLOOR(60*service_hr/J53,1))</f>
        <v/>
      </c>
      <c r="L53" s="34">
        <f>ROUND(365*mech_uptime*H53,0)</f>
        <v/>
      </c>
      <c r="M53" s="35">
        <f>mech_uptime</f>
        <v/>
      </c>
      <c r="N53" s="35">
        <f>revleg_sel</f>
        <v/>
      </c>
      <c r="O53" s="34">
        <f>ROUND(K53*L53*revleg_sel,0)</f>
        <v/>
      </c>
      <c r="P53" s="36">
        <f>load_sel</f>
        <v/>
      </c>
      <c r="Q53" s="36">
        <f>pax_cap*P53</f>
        <v/>
      </c>
      <c r="R53" s="34">
        <f>Q53*O53</f>
        <v/>
      </c>
      <c r="S53" s="37">
        <f>E53*discount</f>
        <v/>
      </c>
      <c r="T53" s="38">
        <f>S53*R53</f>
        <v/>
      </c>
      <c r="U53" s="38">
        <f>(battery/range_nm)*D53*O53*VLOOKUP(B53,country_opex,3,FALSE)</f>
        <v/>
      </c>
      <c r="V53" s="38">
        <f>VLOOKUP(B53,country_opex,2,FALSE)*crew_factor</f>
        <v/>
      </c>
      <c r="W53" s="38">
        <f>VLOOKUP(B53,country_opex,5,FALSE)</f>
        <v/>
      </c>
      <c r="X53" s="38">
        <f>maint</f>
        <v/>
      </c>
      <c r="Y53" s="38">
        <f>VLOOKUP(B53,country_opex,7,FALSE)*ins_pct</f>
        <v/>
      </c>
      <c r="Z53" s="38">
        <f>charge_berth</f>
        <v/>
      </c>
      <c r="AA53" s="38">
        <f>U53+V53+W53+X53+Y53+Z53</f>
        <v/>
      </c>
      <c r="AB53" s="38">
        <f>VLOOKUP(B53,country_opex,7,FALSE)/dep_years</f>
        <v/>
      </c>
      <c r="AC53" s="38">
        <f>T53-AA53</f>
        <v/>
      </c>
      <c r="AD53" s="35">
        <f>IF(T53=0,"",AC53/T53)</f>
        <v/>
      </c>
      <c r="AE53" s="36">
        <f>IF(AC53&lt;=0,"",VLOOKUP(B53,country_opex,7,FALSE)/AC53)</f>
        <v/>
      </c>
      <c r="AF53" s="33">
        <f>((D53*O53/diesel_nmpg)*diesel_co2pg-(battery/range_nm)*D53*O53*VLOOKUP(B53,country_opex,4,FALSE))/1000</f>
        <v/>
      </c>
      <c r="AG53" s="31" t="n">
        <v>300000</v>
      </c>
      <c r="AH53" s="32" t="n"/>
      <c r="AI53" s="32" t="n"/>
      <c r="AJ53" s="39" t="n">
        <v>0.1</v>
      </c>
      <c r="AK53" s="34">
        <f>IF(AG53="","",AG53*AJ53)</f>
        <v/>
      </c>
      <c r="AL53" s="34">
        <f>IF(OR(AG53="",R53=0),"",MIN(IF(AS53="",9.9E+99,AS53),FLOOR(AK53/R53,1)))</f>
        <v/>
      </c>
      <c r="AM53" s="38">
        <f>IF(AL53="","",AL53*T53)</f>
        <v/>
      </c>
      <c r="AN53" s="36">
        <f>IF(OR(AG53="",R53=0),"",MIN(IF(AS53="",9.9E+99,AS53),AK53/R53))</f>
        <v/>
      </c>
      <c r="AO53" s="38">
        <f>IF(AN53="","",AN53*T53)</f>
        <v/>
      </c>
      <c r="AP53" s="40" t="n"/>
      <c r="AQ53" s="41" t="n"/>
      <c r="AR53" s="41" t="n"/>
      <c r="AS53" s="42" t="n"/>
      <c r="AT53" s="43">
        <f>IF(((S53*pax_cap*load_thin*ROUND(K53*L53*revleg_thin,0))-(((battery/range_nm)*D53*ROUND(K53*L53*revleg_thin,0)*VLOOKUP(B53,country_opex,3,FALSE))+V53+W53+X53+Y53+Z53))&lt;=0,"",VLOOKUP(B53,country_opex,7,FALSE)/((S53*pax_cap*load_thin*ROUND(K53*L53*revleg_thin,0))-(((battery/range_nm)*D53*ROUND(K53*L53*revleg_thin,0)*VLOOKUP(B53,country_opex,3,FALSE))+V53+W53+X53+Y53+Z53)))</f>
        <v/>
      </c>
      <c r="AU53" s="43">
        <f>IF(((S53*pax_cap*load_mid*ROUND(K53*L53*revleg_mid,0))-(((battery/range_nm)*D53*ROUND(K53*L53*revleg_mid,0)*VLOOKUP(B53,country_opex,3,FALSE))+V53+W53+X53+Y53+Z53))&lt;=0,"",VLOOKUP(B53,country_opex,7,FALSE)/((S53*pax_cap*load_mid*ROUND(K53*L53*revleg_mid,0))-(((battery/range_nm)*D53*ROUND(K53*L53*revleg_mid,0)*VLOOKUP(B53,country_opex,3,FALSE))+V53+W53+X53+Y53+Z53)))</f>
        <v/>
      </c>
      <c r="AV53" s="43">
        <f>IF(((S53*pax_cap*load_full*ROUND(K53*L53*revleg_full,0))-(((battery/range_nm)*D53*ROUND(K53*L53*revleg_full,0)*VLOOKUP(B53,country_opex,3,FALSE))+V53+W53+X53+Y53+Z53))&lt;=0,"",VLOOKUP(B53,country_opex,7,FALSE)/((S53*pax_cap*load_full*ROUND(K53*L53*revleg_full,0))-(((battery/range_nm)*D53*ROUND(K53*L53*revleg_full,0)*VLOOKUP(B53,country_opex,3,FALSE))+V53+W53+X53+Y53+Z53)))</f>
        <v/>
      </c>
      <c r="AW53" s="44" t="inlineStr">
        <is>
          <t>PREMIUM scheduled per-seat: Trans Cote d'Azur Cannes&lt;-&gt;Sainte-Marguerite navette EUR 19.00 adult RT (2026, all year) = ~EUR 9.5 one-way x 1.08 = ~$10.3. (Short hop, so the premium tier itself is inexpensive.)</t>
        </is>
      </c>
      <c r="AX53" s="44" t="n"/>
    </row>
    <row r="54">
      <c r="A54" s="29" t="inlineStr">
        <is>
          <t>Bolt France Riviera</t>
        </is>
      </c>
      <c r="B54" s="29" t="inlineStr">
        <is>
          <t>France</t>
        </is>
      </c>
      <c r="C54" s="30" t="inlineStr">
        <is>
          <t>Menton → Monaco</t>
        </is>
      </c>
      <c r="D54" s="31" t="n">
        <v>4</v>
      </c>
      <c r="E54" s="26" t="n"/>
      <c r="F54" s="32" t="n"/>
      <c r="G54" s="32" t="n"/>
      <c r="H54" s="19" t="n">
        <v>1</v>
      </c>
      <c r="I54" s="33">
        <f>60*D54/cruise_kt</f>
        <v/>
      </c>
      <c r="J54" s="33">
        <f>I54+turn_min+dwell_min</f>
        <v/>
      </c>
      <c r="K54" s="34">
        <f>MIN(16,FLOOR(60*service_hr/J54,1))</f>
        <v/>
      </c>
      <c r="L54" s="34">
        <f>ROUND(365*mech_uptime*H54,0)</f>
        <v/>
      </c>
      <c r="M54" s="35">
        <f>mech_uptime</f>
        <v/>
      </c>
      <c r="N54" s="35">
        <f>revleg_sel</f>
        <v/>
      </c>
      <c r="O54" s="34">
        <f>ROUND(K54*L54*revleg_sel,0)</f>
        <v/>
      </c>
      <c r="P54" s="36">
        <f>load_sel</f>
        <v/>
      </c>
      <c r="Q54" s="36">
        <f>pax_cap*P54</f>
        <v/>
      </c>
      <c r="R54" s="34">
        <f>Q54*O54</f>
        <v/>
      </c>
      <c r="S54" s="37">
        <f>E54*discount</f>
        <v/>
      </c>
      <c r="T54" s="38">
        <f>S54*R54</f>
        <v/>
      </c>
      <c r="U54" s="38">
        <f>(battery/range_nm)*D54*O54*VLOOKUP(B54,country_opex,3,FALSE)</f>
        <v/>
      </c>
      <c r="V54" s="38">
        <f>VLOOKUP(B54,country_opex,2,FALSE)*crew_factor</f>
        <v/>
      </c>
      <c r="W54" s="38">
        <f>VLOOKUP(B54,country_opex,5,FALSE)</f>
        <v/>
      </c>
      <c r="X54" s="38">
        <f>maint</f>
        <v/>
      </c>
      <c r="Y54" s="38">
        <f>VLOOKUP(B54,country_opex,7,FALSE)*ins_pct</f>
        <v/>
      </c>
      <c r="Z54" s="38">
        <f>charge_berth</f>
        <v/>
      </c>
      <c r="AA54" s="38">
        <f>U54+V54+W54+X54+Y54+Z54</f>
        <v/>
      </c>
      <c r="AB54" s="38">
        <f>VLOOKUP(B54,country_opex,7,FALSE)/dep_years</f>
        <v/>
      </c>
      <c r="AC54" s="38">
        <f>T54-AA54</f>
        <v/>
      </c>
      <c r="AD54" s="35">
        <f>IF(T54=0,"",AC54/T54)</f>
        <v/>
      </c>
      <c r="AE54" s="36">
        <f>IF(AC54&lt;=0,"",VLOOKUP(B54,country_opex,7,FALSE)/AC54)</f>
        <v/>
      </c>
      <c r="AF54" s="33">
        <f>((D54*O54/diesel_nmpg)*diesel_co2pg-(battery/range_nm)*D54*O54*VLOOKUP(B54,country_opex,4,FALSE))/1000</f>
        <v/>
      </c>
      <c r="AG54" s="31" t="n">
        <v>110565</v>
      </c>
      <c r="AH54" s="32" t="n"/>
      <c r="AI54" s="32" t="n"/>
      <c r="AJ54" s="39" t="n">
        <v>0.1</v>
      </c>
      <c r="AK54" s="34">
        <f>IF(AG54="","",AG54*AJ54)</f>
        <v/>
      </c>
      <c r="AL54" s="34">
        <f>IF(OR(AG54="",R54=0),"",MIN(IF(AS54="",9.9E+99,AS54),FLOOR(AK54/R54,1)))</f>
        <v/>
      </c>
      <c r="AM54" s="38">
        <f>IF(AL54="","",AL54*T54)</f>
        <v/>
      </c>
      <c r="AN54" s="36">
        <f>IF(OR(AG54="",R54=0),"",MIN(IF(AS54="",9.9E+99,AS54),AK54/R54))</f>
        <v/>
      </c>
      <c r="AO54" s="38">
        <f>IF(AN54="","",AN54*T54)</f>
        <v/>
      </c>
      <c r="AP54" s="40" t="n"/>
      <c r="AQ54" s="41" t="n"/>
      <c r="AR54" s="41" t="n"/>
      <c r="AS54" s="42" t="n"/>
      <c r="AT54" s="43">
        <f>IF(((S54*pax_cap*load_thin*ROUND(K54*L54*revleg_thin,0))-(((battery/range_nm)*D54*ROUND(K54*L54*revleg_thin,0)*VLOOKUP(B54,country_opex,3,FALSE))+V54+W54+X54+Y54+Z54))&lt;=0,"",VLOOKUP(B54,country_opex,7,FALSE)/((S54*pax_cap*load_thin*ROUND(K54*L54*revleg_thin,0))-(((battery/range_nm)*D54*ROUND(K54*L54*revleg_thin,0)*VLOOKUP(B54,country_opex,3,FALSE))+V54+W54+X54+Y54+Z54)))</f>
        <v/>
      </c>
      <c r="AU54" s="43">
        <f>IF(((S54*pax_cap*load_mid*ROUND(K54*L54*revleg_mid,0))-(((battery/range_nm)*D54*ROUND(K54*L54*revleg_mid,0)*VLOOKUP(B54,country_opex,3,FALSE))+V54+W54+X54+Y54+Z54))&lt;=0,"",VLOOKUP(B54,country_opex,7,FALSE)/((S54*pax_cap*load_mid*ROUND(K54*L54*revleg_mid,0))-(((battery/range_nm)*D54*ROUND(K54*L54*revleg_mid,0)*VLOOKUP(B54,country_opex,3,FALSE))+V54+W54+X54+Y54+Z54)))</f>
        <v/>
      </c>
      <c r="AV54" s="43">
        <f>IF(((S54*pax_cap*load_full*ROUND(K54*L54*revleg_full,0))-(((battery/range_nm)*D54*ROUND(K54*L54*revleg_full,0)*VLOOKUP(B54,country_opex,3,FALSE))+V54+W54+X54+Y54+Z54))&lt;=0,"",VLOOKUP(B54,country_opex,7,FALSE)/((S54*pax_cap*load_full*ROUND(K54*L54*revleg_full,0))-(((battery/range_nm)*D54*ROUND(K54*L54*revleg_full,0)*VLOOKUP(B54,country_opex,3,FALSE))+V54+W54+X54+Y54+Z54)))</f>
        <v/>
      </c>
      <c r="AW54" s="44" t="n"/>
      <c r="AX54" s="44" t="n"/>
    </row>
    <row r="55">
      <c r="A55" s="29" t="inlineStr">
        <is>
          <t>Bolt France Riviera</t>
        </is>
      </c>
      <c r="B55" s="29" t="inlineStr">
        <is>
          <t>France</t>
        </is>
      </c>
      <c r="C55" s="30" t="inlineStr">
        <is>
          <t>Villefranche-sur-Mer → Monaco</t>
        </is>
      </c>
      <c r="D55" s="31" t="n">
        <v>5</v>
      </c>
      <c r="E55" s="26" t="n"/>
      <c r="F55" s="32" t="n"/>
      <c r="G55" s="32" t="n"/>
      <c r="H55" s="19" t="n">
        <v>1</v>
      </c>
      <c r="I55" s="33">
        <f>60*D55/cruise_kt</f>
        <v/>
      </c>
      <c r="J55" s="33">
        <f>I55+turn_min+dwell_min</f>
        <v/>
      </c>
      <c r="K55" s="34">
        <f>MIN(16,FLOOR(60*service_hr/J55,1))</f>
        <v/>
      </c>
      <c r="L55" s="34">
        <f>ROUND(365*mech_uptime*H55,0)</f>
        <v/>
      </c>
      <c r="M55" s="35">
        <f>mech_uptime</f>
        <v/>
      </c>
      <c r="N55" s="35">
        <f>revleg_sel</f>
        <v/>
      </c>
      <c r="O55" s="34">
        <f>ROUND(K55*L55*revleg_sel,0)</f>
        <v/>
      </c>
      <c r="P55" s="36">
        <f>load_sel</f>
        <v/>
      </c>
      <c r="Q55" s="36">
        <f>pax_cap*P55</f>
        <v/>
      </c>
      <c r="R55" s="34">
        <f>Q55*O55</f>
        <v/>
      </c>
      <c r="S55" s="37">
        <f>E55*discount</f>
        <v/>
      </c>
      <c r="T55" s="38">
        <f>S55*R55</f>
        <v/>
      </c>
      <c r="U55" s="38">
        <f>(battery/range_nm)*D55*O55*VLOOKUP(B55,country_opex,3,FALSE)</f>
        <v/>
      </c>
      <c r="V55" s="38">
        <f>VLOOKUP(B55,country_opex,2,FALSE)*crew_factor</f>
        <v/>
      </c>
      <c r="W55" s="38">
        <f>VLOOKUP(B55,country_opex,5,FALSE)</f>
        <v/>
      </c>
      <c r="X55" s="38">
        <f>maint</f>
        <v/>
      </c>
      <c r="Y55" s="38">
        <f>VLOOKUP(B55,country_opex,7,FALSE)*ins_pct</f>
        <v/>
      </c>
      <c r="Z55" s="38">
        <f>charge_berth</f>
        <v/>
      </c>
      <c r="AA55" s="38">
        <f>U55+V55+W55+X55+Y55+Z55</f>
        <v/>
      </c>
      <c r="AB55" s="38">
        <f>VLOOKUP(B55,country_opex,7,FALSE)/dep_years</f>
        <v/>
      </c>
      <c r="AC55" s="38">
        <f>T55-AA55</f>
        <v/>
      </c>
      <c r="AD55" s="35">
        <f>IF(T55=0,"",AC55/T55)</f>
        <v/>
      </c>
      <c r="AE55" s="36">
        <f>IF(AC55&lt;=0,"",VLOOKUP(B55,country_opex,7,FALSE)/AC55)</f>
        <v/>
      </c>
      <c r="AF55" s="33">
        <f>((D55*O55/diesel_nmpg)*diesel_co2pg-(battery/range_nm)*D55*O55*VLOOKUP(B55,country_opex,4,FALSE))/1000</f>
        <v/>
      </c>
      <c r="AG55" s="31" t="n"/>
      <c r="AH55" s="32" t="n"/>
      <c r="AI55" s="32" t="n"/>
      <c r="AJ55" s="39" t="n">
        <v>0.1</v>
      </c>
      <c r="AK55" s="34">
        <f>IF(AG55="","",AG55*AJ55)</f>
        <v/>
      </c>
      <c r="AL55" s="34">
        <f>IF(OR(AG55="",R55=0),"",MIN(IF(AS55="",9.9E+99,AS55),FLOOR(AK55/R55,1)))</f>
        <v/>
      </c>
      <c r="AM55" s="38">
        <f>IF(AL55="","",AL55*T55)</f>
        <v/>
      </c>
      <c r="AN55" s="36">
        <f>IF(OR(AG55="",R55=0),"",MIN(IF(AS55="",9.9E+99,AS55),AK55/R55))</f>
        <v/>
      </c>
      <c r="AO55" s="38">
        <f>IF(AN55="","",AN55*T55)</f>
        <v/>
      </c>
      <c r="AP55" s="40" t="n"/>
      <c r="AQ55" s="41" t="n"/>
      <c r="AR55" s="41" t="n"/>
      <c r="AS55" s="42" t="n"/>
      <c r="AT55" s="43">
        <f>IF(((S55*pax_cap*load_thin*ROUND(K55*L55*revleg_thin,0))-(((battery/range_nm)*D55*ROUND(K55*L55*revleg_thin,0)*VLOOKUP(B55,country_opex,3,FALSE))+V55+W55+X55+Y55+Z55))&lt;=0,"",VLOOKUP(B55,country_opex,7,FALSE)/((S55*pax_cap*load_thin*ROUND(K55*L55*revleg_thin,0))-(((battery/range_nm)*D55*ROUND(K55*L55*revleg_thin,0)*VLOOKUP(B55,country_opex,3,FALSE))+V55+W55+X55+Y55+Z55)))</f>
        <v/>
      </c>
      <c r="AU55" s="43">
        <f>IF(((S55*pax_cap*load_mid*ROUND(K55*L55*revleg_mid,0))-(((battery/range_nm)*D55*ROUND(K55*L55*revleg_mid,0)*VLOOKUP(B55,country_opex,3,FALSE))+V55+W55+X55+Y55+Z55))&lt;=0,"",VLOOKUP(B55,country_opex,7,FALSE)/((S55*pax_cap*load_mid*ROUND(K55*L55*revleg_mid,0))-(((battery/range_nm)*D55*ROUND(K55*L55*revleg_mid,0)*VLOOKUP(B55,country_opex,3,FALSE))+V55+W55+X55+Y55+Z55)))</f>
        <v/>
      </c>
      <c r="AV55" s="43">
        <f>IF(((S55*pax_cap*load_full*ROUND(K55*L55*revleg_full,0))-(((battery/range_nm)*D55*ROUND(K55*L55*revleg_full,0)*VLOOKUP(B55,country_opex,3,FALSE))+V55+W55+X55+Y55+Z55))&lt;=0,"",VLOOKUP(B55,country_opex,7,FALSE)/((S55*pax_cap*load_full*ROUND(K55*L55*revleg_full,0))-(((battery/range_nm)*D55*ROUND(K55*L55*revleg_full,0)*VLOOKUP(B55,country_opex,3,FALSE))+V55+W55+X55+Y55+Z55)))</f>
        <v/>
      </c>
      <c r="AW55" s="44" t="n"/>
      <c r="AX55" s="44" t="n"/>
    </row>
    <row r="56">
      <c r="A56" s="29" t="inlineStr">
        <is>
          <t>Bolt France Riviera</t>
        </is>
      </c>
      <c r="B56" s="29" t="inlineStr">
        <is>
          <t>France</t>
        </is>
      </c>
      <c r="C56" s="30" t="inlineStr">
        <is>
          <t>Antibes → Cannes</t>
        </is>
      </c>
      <c r="D56" s="31" t="n">
        <v>6</v>
      </c>
      <c r="E56" s="26" t="n"/>
      <c r="F56" s="32" t="n"/>
      <c r="G56" s="32" t="n"/>
      <c r="H56" s="19" t="n">
        <v>1</v>
      </c>
      <c r="I56" s="33">
        <f>60*D56/cruise_kt</f>
        <v/>
      </c>
      <c r="J56" s="33">
        <f>I56+turn_min+dwell_min</f>
        <v/>
      </c>
      <c r="K56" s="34">
        <f>MIN(16,FLOOR(60*service_hr/J56,1))</f>
        <v/>
      </c>
      <c r="L56" s="34">
        <f>ROUND(365*mech_uptime*H56,0)</f>
        <v/>
      </c>
      <c r="M56" s="35">
        <f>mech_uptime</f>
        <v/>
      </c>
      <c r="N56" s="35">
        <f>revleg_sel</f>
        <v/>
      </c>
      <c r="O56" s="34">
        <f>ROUND(K56*L56*revleg_sel,0)</f>
        <v/>
      </c>
      <c r="P56" s="36">
        <f>load_sel</f>
        <v/>
      </c>
      <c r="Q56" s="36">
        <f>pax_cap*P56</f>
        <v/>
      </c>
      <c r="R56" s="34">
        <f>Q56*O56</f>
        <v/>
      </c>
      <c r="S56" s="37">
        <f>E56*discount</f>
        <v/>
      </c>
      <c r="T56" s="38">
        <f>S56*R56</f>
        <v/>
      </c>
      <c r="U56" s="38">
        <f>(battery/range_nm)*D56*O56*VLOOKUP(B56,country_opex,3,FALSE)</f>
        <v/>
      </c>
      <c r="V56" s="38">
        <f>VLOOKUP(B56,country_opex,2,FALSE)*crew_factor</f>
        <v/>
      </c>
      <c r="W56" s="38">
        <f>VLOOKUP(B56,country_opex,5,FALSE)</f>
        <v/>
      </c>
      <c r="X56" s="38">
        <f>maint</f>
        <v/>
      </c>
      <c r="Y56" s="38">
        <f>VLOOKUP(B56,country_opex,7,FALSE)*ins_pct</f>
        <v/>
      </c>
      <c r="Z56" s="38">
        <f>charge_berth</f>
        <v/>
      </c>
      <c r="AA56" s="38">
        <f>U56+V56+W56+X56+Y56+Z56</f>
        <v/>
      </c>
      <c r="AB56" s="38">
        <f>VLOOKUP(B56,country_opex,7,FALSE)/dep_years</f>
        <v/>
      </c>
      <c r="AC56" s="38">
        <f>T56-AA56</f>
        <v/>
      </c>
      <c r="AD56" s="35">
        <f>IF(T56=0,"",AC56/T56)</f>
        <v/>
      </c>
      <c r="AE56" s="36">
        <f>IF(AC56&lt;=0,"",VLOOKUP(B56,country_opex,7,FALSE)/AC56)</f>
        <v/>
      </c>
      <c r="AF56" s="33">
        <f>((D56*O56/diesel_nmpg)*diesel_co2pg-(battery/range_nm)*D56*O56*VLOOKUP(B56,country_opex,4,FALSE))/1000</f>
        <v/>
      </c>
      <c r="AG56" s="31" t="n">
        <v>136595</v>
      </c>
      <c r="AH56" s="32" t="n"/>
      <c r="AI56" s="32" t="n"/>
      <c r="AJ56" s="39" t="n">
        <v>0.1</v>
      </c>
      <c r="AK56" s="34">
        <f>IF(AG56="","",AG56*AJ56)</f>
        <v/>
      </c>
      <c r="AL56" s="34">
        <f>IF(OR(AG56="",R56=0),"",MIN(IF(AS56="",9.9E+99,AS56),FLOOR(AK56/R56,1)))</f>
        <v/>
      </c>
      <c r="AM56" s="38">
        <f>IF(AL56="","",AL56*T56)</f>
        <v/>
      </c>
      <c r="AN56" s="36">
        <f>IF(OR(AG56="",R56=0),"",MIN(IF(AS56="",9.9E+99,AS56),AK56/R56))</f>
        <v/>
      </c>
      <c r="AO56" s="38">
        <f>IF(AN56="","",AN56*T56)</f>
        <v/>
      </c>
      <c r="AP56" s="40" t="n"/>
      <c r="AQ56" s="41" t="n"/>
      <c r="AR56" s="41" t="n"/>
      <c r="AS56" s="42" t="n"/>
      <c r="AT56" s="43">
        <f>IF(((S56*pax_cap*load_thin*ROUND(K56*L56*revleg_thin,0))-(((battery/range_nm)*D56*ROUND(K56*L56*revleg_thin,0)*VLOOKUP(B56,country_opex,3,FALSE))+V56+W56+X56+Y56+Z56))&lt;=0,"",VLOOKUP(B56,country_opex,7,FALSE)/((S56*pax_cap*load_thin*ROUND(K56*L56*revleg_thin,0))-(((battery/range_nm)*D56*ROUND(K56*L56*revleg_thin,0)*VLOOKUP(B56,country_opex,3,FALSE))+V56+W56+X56+Y56+Z56)))</f>
        <v/>
      </c>
      <c r="AU56" s="43">
        <f>IF(((S56*pax_cap*load_mid*ROUND(K56*L56*revleg_mid,0))-(((battery/range_nm)*D56*ROUND(K56*L56*revleg_mid,0)*VLOOKUP(B56,country_opex,3,FALSE))+V56+W56+X56+Y56+Z56))&lt;=0,"",VLOOKUP(B56,country_opex,7,FALSE)/((S56*pax_cap*load_mid*ROUND(K56*L56*revleg_mid,0))-(((battery/range_nm)*D56*ROUND(K56*L56*revleg_mid,0)*VLOOKUP(B56,country_opex,3,FALSE))+V56+W56+X56+Y56+Z56)))</f>
        <v/>
      </c>
      <c r="AV56" s="43">
        <f>IF(((S56*pax_cap*load_full*ROUND(K56*L56*revleg_full,0))-(((battery/range_nm)*D56*ROUND(K56*L56*revleg_full,0)*VLOOKUP(B56,country_opex,3,FALSE))+V56+W56+X56+Y56+Z56))&lt;=0,"",VLOOKUP(B56,country_opex,7,FALSE)/((S56*pax_cap*load_full*ROUND(K56*L56*revleg_full,0))-(((battery/range_nm)*D56*ROUND(K56*L56*revleg_full,0)*VLOOKUP(B56,country_opex,3,FALSE))+V56+W56+X56+Y56+Z56)))</f>
        <v/>
      </c>
      <c r="AW56" s="44" t="n"/>
      <c r="AX56" s="44" t="n"/>
    </row>
    <row r="57">
      <c r="A57" s="29" t="inlineStr">
        <is>
          <t>Bolt France Riviera</t>
        </is>
      </c>
      <c r="B57" s="29" t="inlineStr">
        <is>
          <t>France</t>
        </is>
      </c>
      <c r="C57" s="30" t="inlineStr">
        <is>
          <t>Nice → Monaco</t>
        </is>
      </c>
      <c r="D57" s="31" t="n">
        <v>6.5</v>
      </c>
      <c r="E57" s="26" t="n">
        <v>26.7</v>
      </c>
      <c r="F57" s="32" t="inlineStr">
        <is>
          <t>T2</t>
        </is>
      </c>
      <c r="G57" s="32" t="inlineStr">
        <is>
          <t>med</t>
        </is>
      </c>
      <c r="H57" s="19" t="n">
        <v>1</v>
      </c>
      <c r="I57" s="33">
        <f>60*D57/cruise_kt</f>
        <v/>
      </c>
      <c r="J57" s="33">
        <f>I57+turn_min+dwell_min</f>
        <v/>
      </c>
      <c r="K57" s="34">
        <f>MIN(16,FLOOR(60*service_hr/J57,1))</f>
        <v/>
      </c>
      <c r="L57" s="34">
        <f>ROUND(365*mech_uptime*H57,0)</f>
        <v/>
      </c>
      <c r="M57" s="35">
        <f>mech_uptime</f>
        <v/>
      </c>
      <c r="N57" s="35">
        <f>revleg_sel</f>
        <v/>
      </c>
      <c r="O57" s="34">
        <f>ROUND(K57*L57*revleg_sel,0)</f>
        <v/>
      </c>
      <c r="P57" s="36">
        <f>load_sel</f>
        <v/>
      </c>
      <c r="Q57" s="36">
        <f>pax_cap*P57</f>
        <v/>
      </c>
      <c r="R57" s="34">
        <f>Q57*O57</f>
        <v/>
      </c>
      <c r="S57" s="37">
        <f>E57*discount</f>
        <v/>
      </c>
      <c r="T57" s="38">
        <f>S57*R57</f>
        <v/>
      </c>
      <c r="U57" s="38">
        <f>(battery/range_nm)*D57*O57*VLOOKUP(B57,country_opex,3,FALSE)</f>
        <v/>
      </c>
      <c r="V57" s="38">
        <f>VLOOKUP(B57,country_opex,2,FALSE)*crew_factor</f>
        <v/>
      </c>
      <c r="W57" s="38">
        <f>VLOOKUP(B57,country_opex,5,FALSE)</f>
        <v/>
      </c>
      <c r="X57" s="38">
        <f>maint</f>
        <v/>
      </c>
      <c r="Y57" s="38">
        <f>VLOOKUP(B57,country_opex,7,FALSE)*ins_pct</f>
        <v/>
      </c>
      <c r="Z57" s="38">
        <f>charge_berth</f>
        <v/>
      </c>
      <c r="AA57" s="38">
        <f>U57+V57+W57+X57+Y57+Z57</f>
        <v/>
      </c>
      <c r="AB57" s="38">
        <f>VLOOKUP(B57,country_opex,7,FALSE)/dep_years</f>
        <v/>
      </c>
      <c r="AC57" s="38">
        <f>T57-AA57</f>
        <v/>
      </c>
      <c r="AD57" s="35">
        <f>IF(T57=0,"",AC57/T57)</f>
        <v/>
      </c>
      <c r="AE57" s="36">
        <f>IF(AC57&lt;=0,"",VLOOKUP(B57,country_opex,7,FALSE)/AC57)</f>
        <v/>
      </c>
      <c r="AF57" s="33">
        <f>((D57*O57/diesel_nmpg)*diesel_co2pg-(battery/range_nm)*D57*O57*VLOOKUP(B57,country_opex,4,FALSE))/1000</f>
        <v/>
      </c>
      <c r="AG57" s="31" t="n">
        <v>368966</v>
      </c>
      <c r="AH57" s="32" t="n"/>
      <c r="AI57" s="32" t="n"/>
      <c r="AJ57" s="39" t="n">
        <v>0.1</v>
      </c>
      <c r="AK57" s="34">
        <f>IF(AG57="","",AG57*AJ57)</f>
        <v/>
      </c>
      <c r="AL57" s="34">
        <f>IF(OR(AG57="",R57=0),"",MIN(IF(AS57="",9.9E+99,AS57),FLOOR(AK57/R57,1)))</f>
        <v/>
      </c>
      <c r="AM57" s="38">
        <f>IF(AL57="","",AL57*T57)</f>
        <v/>
      </c>
      <c r="AN57" s="36">
        <f>IF(OR(AG57="",R57=0),"",MIN(IF(AS57="",9.9E+99,AS57),AK57/R57))</f>
        <v/>
      </c>
      <c r="AO57" s="38">
        <f>IF(AN57="","",AN57*T57)</f>
        <v/>
      </c>
      <c r="AP57" s="40" t="n"/>
      <c r="AQ57" s="41" t="n"/>
      <c r="AR57" s="41" t="n"/>
      <c r="AS57" s="42" t="n"/>
      <c r="AT57" s="43">
        <f>IF(((S57*pax_cap*load_thin*ROUND(K57*L57*revleg_thin,0))-(((battery/range_nm)*D57*ROUND(K57*L57*revleg_thin,0)*VLOOKUP(B57,country_opex,3,FALSE))+V57+W57+X57+Y57+Z57))&lt;=0,"",VLOOKUP(B57,country_opex,7,FALSE)/((S57*pax_cap*load_thin*ROUND(K57*L57*revleg_thin,0))-(((battery/range_nm)*D57*ROUND(K57*L57*revleg_thin,0)*VLOOKUP(B57,country_opex,3,FALSE))+V57+W57+X57+Y57+Z57)))</f>
        <v/>
      </c>
      <c r="AU57" s="43">
        <f>IF(((S57*pax_cap*load_mid*ROUND(K57*L57*revleg_mid,0))-(((battery/range_nm)*D57*ROUND(K57*L57*revleg_mid,0)*VLOOKUP(B57,country_opex,3,FALSE))+V57+W57+X57+Y57+Z57))&lt;=0,"",VLOOKUP(B57,country_opex,7,FALSE)/((S57*pax_cap*load_mid*ROUND(K57*L57*revleg_mid,0))-(((battery/range_nm)*D57*ROUND(K57*L57*revleg_mid,0)*VLOOKUP(B57,country_opex,3,FALSE))+V57+W57+X57+Y57+Z57)))</f>
        <v/>
      </c>
      <c r="AV57" s="43">
        <f>IF(((S57*pax_cap*load_full*ROUND(K57*L57*revleg_full,0))-(((battery/range_nm)*D57*ROUND(K57*L57*revleg_full,0)*VLOOKUP(B57,country_opex,3,FALSE))+V57+W57+X57+Y57+Z57))&lt;=0,"",VLOOKUP(B57,country_opex,7,FALSE)/((S57*pax_cap*load_full*ROUND(K57*L57*revleg_full,0))-(((battery/range_nm)*D57*ROUND(K57*L57*revleg_full,0)*VLOOKUP(B57,country_opex,3,FALSE))+V57+W57+X57+Y57+Z57)))</f>
        <v/>
      </c>
      <c r="AW57" s="44" t="inlineStr">
        <is>
          <t>PREMIUM scheduled per-seat: Trans Cote d'Azur scheduled catamaran Nice-&gt;Monaco WITH landing at Port Hercule, EUR 49.50 adult round-trip (2026) = ~EUR 24.75 one-way x 1.08 = ~$26.7. (Their no-landing 'Promenade Nice-Monaco' is EUR 39.50 RT; the EUR 49.50 escale fare is the true point-to-point analog.)</t>
        </is>
      </c>
      <c r="AX57" s="44" t="n"/>
    </row>
    <row r="58">
      <c r="A58" s="29" t="inlineStr">
        <is>
          <t>Bolt France Riviera</t>
        </is>
      </c>
      <c r="B58" s="29" t="inlineStr">
        <is>
          <t>France</t>
        </is>
      </c>
      <c r="C58" s="30" t="inlineStr">
        <is>
          <t>Nice Airport → Monaco</t>
        </is>
      </c>
      <c r="D58" s="31" t="n">
        <v>6.7</v>
      </c>
      <c r="E58" s="26" t="n">
        <v>210.6</v>
      </c>
      <c r="F58" s="32" t="inlineStr">
        <is>
          <t>T2</t>
        </is>
      </c>
      <c r="G58" s="32" t="inlineStr">
        <is>
          <t>med</t>
        </is>
      </c>
      <c r="H58" s="19" t="n">
        <v>1</v>
      </c>
      <c r="I58" s="33">
        <f>60*D58/cruise_kt</f>
        <v/>
      </c>
      <c r="J58" s="33">
        <f>I58+turn_min+dwell_min</f>
        <v/>
      </c>
      <c r="K58" s="34">
        <f>MIN(10,FLOOR(60*service_hr/J58,1))</f>
        <v/>
      </c>
      <c r="L58" s="34">
        <f>ROUND(365*mech_uptime*H58,0)</f>
        <v/>
      </c>
      <c r="M58" s="35">
        <f>mech_uptime</f>
        <v/>
      </c>
      <c r="N58" s="35">
        <f>revleg_sel</f>
        <v/>
      </c>
      <c r="O58" s="34">
        <f>ROUND(K58*L58*revleg_sel,0)</f>
        <v/>
      </c>
      <c r="P58" s="36">
        <f>load_sel</f>
        <v/>
      </c>
      <c r="Q58" s="36">
        <f>pax_cap*P58</f>
        <v/>
      </c>
      <c r="R58" s="34">
        <f>Q58*O58</f>
        <v/>
      </c>
      <c r="S58" s="37">
        <f>E58*discount</f>
        <v/>
      </c>
      <c r="T58" s="38">
        <f>S58*R58</f>
        <v/>
      </c>
      <c r="U58" s="38">
        <f>(battery/range_nm)*D58*O58*VLOOKUP(B58,country_opex,3,FALSE)</f>
        <v/>
      </c>
      <c r="V58" s="38">
        <f>VLOOKUP(B58,country_opex,2,FALSE)*crew_factor</f>
        <v/>
      </c>
      <c r="W58" s="38">
        <f>VLOOKUP(B58,country_opex,5,FALSE)</f>
        <v/>
      </c>
      <c r="X58" s="38">
        <f>maint</f>
        <v/>
      </c>
      <c r="Y58" s="38">
        <f>VLOOKUP(B58,country_opex,7,FALSE)*ins_pct</f>
        <v/>
      </c>
      <c r="Z58" s="38">
        <f>charge_berth</f>
        <v/>
      </c>
      <c r="AA58" s="38">
        <f>U58+V58+W58+X58+Y58+Z58</f>
        <v/>
      </c>
      <c r="AB58" s="38">
        <f>VLOOKUP(B58,country_opex,7,FALSE)/dep_years</f>
        <v/>
      </c>
      <c r="AC58" s="38">
        <f>T58-AA58</f>
        <v/>
      </c>
      <c r="AD58" s="35">
        <f>IF(T58=0,"",AC58/T58)</f>
        <v/>
      </c>
      <c r="AE58" s="36">
        <f>IF(AC58&lt;=0,"",VLOOKUP(B58,country_opex,7,FALSE)/AC58)</f>
        <v/>
      </c>
      <c r="AF58" s="33">
        <f>((D58*O58/diesel_nmpg)*diesel_co2pg-(battery/range_nm)*D58*O58*VLOOKUP(B58,country_opex,4,FALSE))/1000</f>
        <v/>
      </c>
      <c r="AG58" s="31" t="n">
        <v>79000</v>
      </c>
      <c r="AH58" s="32" t="n"/>
      <c r="AI58" s="32" t="n"/>
      <c r="AJ58" s="39" t="n">
        <v>0.1</v>
      </c>
      <c r="AK58" s="34">
        <f>IF(AG58="","",AG58*AJ58)</f>
        <v/>
      </c>
      <c r="AL58" s="34">
        <f>IF(OR(AG58="",R58=0),"",MIN(IF(AS58="",9.9E+99,AS58),FLOOR(AK58/R58,1)))</f>
        <v/>
      </c>
      <c r="AM58" s="38">
        <f>IF(AL58="","",AL58*T58)</f>
        <v/>
      </c>
      <c r="AN58" s="36">
        <f>IF(OR(AG58="",R58=0),"",MIN(IF(AS58="",9.9E+99,AS58),AK58/R58))</f>
        <v/>
      </c>
      <c r="AO58" s="38">
        <f>IF(AN58="","",AN58*T58)</f>
        <v/>
      </c>
      <c r="AP58" s="40" t="n"/>
      <c r="AQ58" s="41" t="n"/>
      <c r="AR58" s="41" t="inlineStr">
        <is>
          <t>modal_shift_greenfield</t>
        </is>
      </c>
      <c r="AS58" s="42" t="n"/>
      <c r="AT58" s="43">
        <f>IF(((S58*pax_cap*load_thin*ROUND(K58*L58*revleg_thin,0))-(((battery/range_nm)*D58*ROUND(K58*L58*revleg_thin,0)*VLOOKUP(B58,country_opex,3,FALSE))+V58+W58+X58+Y58+Z58))&lt;=0,"",VLOOKUP(B58,country_opex,7,FALSE)/((S58*pax_cap*load_thin*ROUND(K58*L58*revleg_thin,0))-(((battery/range_nm)*D58*ROUND(K58*L58*revleg_thin,0)*VLOOKUP(B58,country_opex,3,FALSE))+V58+W58+X58+Y58+Z58)))</f>
        <v/>
      </c>
      <c r="AU58" s="43">
        <f>IF(((S58*pax_cap*load_mid*ROUND(K58*L58*revleg_mid,0))-(((battery/range_nm)*D58*ROUND(K58*L58*revleg_mid,0)*VLOOKUP(B58,country_opex,3,FALSE))+V58+W58+X58+Y58+Z58))&lt;=0,"",VLOOKUP(B58,country_opex,7,FALSE)/((S58*pax_cap*load_mid*ROUND(K58*L58*revleg_mid,0))-(((battery/range_nm)*D58*ROUND(K58*L58*revleg_mid,0)*VLOOKUP(B58,country_opex,3,FALSE))+V58+W58+X58+Y58+Z58)))</f>
        <v/>
      </c>
      <c r="AV58" s="43">
        <f>IF(((S58*pax_cap*load_full*ROUND(K58*L58*revleg_full,0))-(((battery/range_nm)*D58*ROUND(K58*L58*revleg_full,0)*VLOOKUP(B58,country_opex,3,FALSE))+V58+W58+X58+Y58+Z58))&lt;=0,"",VLOOKUP(B58,country_opex,7,FALSE)/((S58*pax_cap*load_full*ROUND(K58*L58*revleg_full,0))-(((battery/range_nm)*D58*ROUND(K58*L58*revleg_full,0)*VLOOKUP(B58,country_opex,3,FALSE))+V58+W58+X58+Y58+Z58)))</f>
        <v/>
      </c>
      <c r="AW58" s="44" t="inlineStr">
        <is>
          <t>PREMIUM tier = scheduled by-the-seat helicopter Nice Airport&lt;-&gt;Monaco, EUR 195/seat (Blade &amp; Monacair regular line, 7-min flight, ~every 30 min, year-round). EUR 195 x 1.08 = ~$210.6. This is the helicopter-alternative anchor (corridor has NO scheduled boat today). A Navier fast sea-shuttle would price well below this (~$30-60 band), expanding the pool.</t>
        </is>
      </c>
      <c r="AX58" s="44" t="n"/>
    </row>
    <row r="59">
      <c r="A59" s="29" t="inlineStr">
        <is>
          <t>Bolt France Riviera</t>
        </is>
      </c>
      <c r="B59" s="29" t="inlineStr">
        <is>
          <t>France</t>
        </is>
      </c>
      <c r="C59" s="30" t="inlineStr">
        <is>
          <t>Nice Airport → Cannes</t>
        </is>
      </c>
      <c r="D59" s="31" t="n">
        <v>9</v>
      </c>
      <c r="E59" s="26" t="n"/>
      <c r="F59" s="32" t="n"/>
      <c r="G59" s="32" t="n"/>
      <c r="H59" s="19" t="n">
        <v>1</v>
      </c>
      <c r="I59" s="33">
        <f>60*D59/cruise_kt</f>
        <v/>
      </c>
      <c r="J59" s="33">
        <f>I59+turn_min+dwell_min</f>
        <v/>
      </c>
      <c r="K59" s="34">
        <f>MIN(10,FLOOR(60*service_hr/J59,1))</f>
        <v/>
      </c>
      <c r="L59" s="34">
        <f>ROUND(365*mech_uptime*H59,0)</f>
        <v/>
      </c>
      <c r="M59" s="35">
        <f>mech_uptime</f>
        <v/>
      </c>
      <c r="N59" s="35">
        <f>revleg_sel</f>
        <v/>
      </c>
      <c r="O59" s="34">
        <f>ROUND(K59*L59*revleg_sel,0)</f>
        <v/>
      </c>
      <c r="P59" s="36">
        <f>load_sel</f>
        <v/>
      </c>
      <c r="Q59" s="36">
        <f>pax_cap*P59</f>
        <v/>
      </c>
      <c r="R59" s="34">
        <f>Q59*O59</f>
        <v/>
      </c>
      <c r="S59" s="37">
        <f>E59*discount</f>
        <v/>
      </c>
      <c r="T59" s="38">
        <f>S59*R59</f>
        <v/>
      </c>
      <c r="U59" s="38">
        <f>(battery/range_nm)*D59*O59*VLOOKUP(B59,country_opex,3,FALSE)</f>
        <v/>
      </c>
      <c r="V59" s="38">
        <f>VLOOKUP(B59,country_opex,2,FALSE)*crew_factor</f>
        <v/>
      </c>
      <c r="W59" s="38">
        <f>VLOOKUP(B59,country_opex,5,FALSE)</f>
        <v/>
      </c>
      <c r="X59" s="38">
        <f>maint</f>
        <v/>
      </c>
      <c r="Y59" s="38">
        <f>VLOOKUP(B59,country_opex,7,FALSE)*ins_pct</f>
        <v/>
      </c>
      <c r="Z59" s="38">
        <f>charge_berth</f>
        <v/>
      </c>
      <c r="AA59" s="38">
        <f>U59+V59+W59+X59+Y59+Z59</f>
        <v/>
      </c>
      <c r="AB59" s="38">
        <f>VLOOKUP(B59,country_opex,7,FALSE)/dep_years</f>
        <v/>
      </c>
      <c r="AC59" s="38">
        <f>T59-AA59</f>
        <v/>
      </c>
      <c r="AD59" s="35">
        <f>IF(T59=0,"",AC59/T59)</f>
        <v/>
      </c>
      <c r="AE59" s="36">
        <f>IF(AC59&lt;=0,"",VLOOKUP(B59,country_opex,7,FALSE)/AC59)</f>
        <v/>
      </c>
      <c r="AF59" s="33">
        <f>((D59*O59/diesel_nmpg)*diesel_co2pg-(battery/range_nm)*D59*O59*VLOOKUP(B59,country_opex,4,FALSE))/1000</f>
        <v/>
      </c>
      <c r="AG59" s="31" t="n"/>
      <c r="AH59" s="32" t="n"/>
      <c r="AI59" s="32" t="n"/>
      <c r="AJ59" s="39" t="n">
        <v>0.1</v>
      </c>
      <c r="AK59" s="34">
        <f>IF(AG59="","",AG59*AJ59)</f>
        <v/>
      </c>
      <c r="AL59" s="34">
        <f>IF(OR(AG59="",R59=0),"",MIN(IF(AS59="",9.9E+99,AS59),FLOOR(AK59/R59,1)))</f>
        <v/>
      </c>
      <c r="AM59" s="38">
        <f>IF(AL59="","",AL59*T59)</f>
        <v/>
      </c>
      <c r="AN59" s="36">
        <f>IF(OR(AG59="",R59=0),"",MIN(IF(AS59="",9.9E+99,AS59),AK59/R59))</f>
        <v/>
      </c>
      <c r="AO59" s="38">
        <f>IF(AN59="","",AN59*T59)</f>
        <v/>
      </c>
      <c r="AP59" s="40" t="n"/>
      <c r="AQ59" s="41" t="n"/>
      <c r="AR59" s="41" t="n"/>
      <c r="AS59" s="42" t="n"/>
      <c r="AT59" s="43">
        <f>IF(((S59*pax_cap*load_thin*ROUND(K59*L59*revleg_thin,0))-(((battery/range_nm)*D59*ROUND(K59*L59*revleg_thin,0)*VLOOKUP(B59,country_opex,3,FALSE))+V59+W59+X59+Y59+Z59))&lt;=0,"",VLOOKUP(B59,country_opex,7,FALSE)/((S59*pax_cap*load_thin*ROUND(K59*L59*revleg_thin,0))-(((battery/range_nm)*D59*ROUND(K59*L59*revleg_thin,0)*VLOOKUP(B59,country_opex,3,FALSE))+V59+W59+X59+Y59+Z59)))</f>
        <v/>
      </c>
      <c r="AU59" s="43">
        <f>IF(((S59*pax_cap*load_mid*ROUND(K59*L59*revleg_mid,0))-(((battery/range_nm)*D59*ROUND(K59*L59*revleg_mid,0)*VLOOKUP(B59,country_opex,3,FALSE))+V59+W59+X59+Y59+Z59))&lt;=0,"",VLOOKUP(B59,country_opex,7,FALSE)/((S59*pax_cap*load_mid*ROUND(K59*L59*revleg_mid,0))-(((battery/range_nm)*D59*ROUND(K59*L59*revleg_mid,0)*VLOOKUP(B59,country_opex,3,FALSE))+V59+W59+X59+Y59+Z59)))</f>
        <v/>
      </c>
      <c r="AV59" s="43">
        <f>IF(((S59*pax_cap*load_full*ROUND(K59*L59*revleg_full,0))-(((battery/range_nm)*D59*ROUND(K59*L59*revleg_full,0)*VLOOKUP(B59,country_opex,3,FALSE))+V59+W59+X59+Y59+Z59))&lt;=0,"",VLOOKUP(B59,country_opex,7,FALSE)/((S59*pax_cap*load_full*ROUND(K59*L59*revleg_full,0))-(((battery/range_nm)*D59*ROUND(K59*L59*revleg_full,0)*VLOOKUP(B59,country_opex,3,FALSE))+V59+W59+X59+Y59+Z59)))</f>
        <v/>
      </c>
      <c r="AW59" s="44" t="n"/>
      <c r="AX59" s="44" t="n"/>
    </row>
    <row r="60">
      <c r="A60" s="29" t="inlineStr">
        <is>
          <t>Bolt France Riviera</t>
        </is>
      </c>
      <c r="B60" s="29" t="inlineStr">
        <is>
          <t>France</t>
        </is>
      </c>
      <c r="C60" s="30" t="inlineStr">
        <is>
          <t>Nice → Cannes</t>
        </is>
      </c>
      <c r="D60" s="31" t="n">
        <v>13</v>
      </c>
      <c r="E60" s="26" t="n">
        <v>26.7</v>
      </c>
      <c r="F60" s="32" t="inlineStr">
        <is>
          <t>T2</t>
        </is>
      </c>
      <c r="G60" s="32" t="inlineStr">
        <is>
          <t>med</t>
        </is>
      </c>
      <c r="H60" s="19" t="n">
        <v>1</v>
      </c>
      <c r="I60" s="33">
        <f>60*D60/cruise_kt</f>
        <v/>
      </c>
      <c r="J60" s="33">
        <f>I60+turn_min+dwell_min</f>
        <v/>
      </c>
      <c r="K60" s="34">
        <f>MIN(16,FLOOR(60*service_hr/J60,1))</f>
        <v/>
      </c>
      <c r="L60" s="34">
        <f>ROUND(365*mech_uptime*H60,0)</f>
        <v/>
      </c>
      <c r="M60" s="35">
        <f>mech_uptime</f>
        <v/>
      </c>
      <c r="N60" s="35">
        <f>revleg_sel</f>
        <v/>
      </c>
      <c r="O60" s="34">
        <f>ROUND(K60*L60*revleg_sel,0)</f>
        <v/>
      </c>
      <c r="P60" s="36">
        <f>load_sel</f>
        <v/>
      </c>
      <c r="Q60" s="36">
        <f>pax_cap*P60</f>
        <v/>
      </c>
      <c r="R60" s="34">
        <f>Q60*O60</f>
        <v/>
      </c>
      <c r="S60" s="37">
        <f>E60*discount</f>
        <v/>
      </c>
      <c r="T60" s="38">
        <f>S60*R60</f>
        <v/>
      </c>
      <c r="U60" s="38">
        <f>(battery/range_nm)*D60*O60*VLOOKUP(B60,country_opex,3,FALSE)</f>
        <v/>
      </c>
      <c r="V60" s="38">
        <f>VLOOKUP(B60,country_opex,2,FALSE)*crew_factor</f>
        <v/>
      </c>
      <c r="W60" s="38">
        <f>VLOOKUP(B60,country_opex,5,FALSE)</f>
        <v/>
      </c>
      <c r="X60" s="38">
        <f>maint</f>
        <v/>
      </c>
      <c r="Y60" s="38">
        <f>VLOOKUP(B60,country_opex,7,FALSE)*ins_pct</f>
        <v/>
      </c>
      <c r="Z60" s="38">
        <f>charge_berth</f>
        <v/>
      </c>
      <c r="AA60" s="38">
        <f>U60+V60+W60+X60+Y60+Z60</f>
        <v/>
      </c>
      <c r="AB60" s="38">
        <f>VLOOKUP(B60,country_opex,7,FALSE)/dep_years</f>
        <v/>
      </c>
      <c r="AC60" s="38">
        <f>T60-AA60</f>
        <v/>
      </c>
      <c r="AD60" s="35">
        <f>IF(T60=0,"",AC60/T60)</f>
        <v/>
      </c>
      <c r="AE60" s="36">
        <f>IF(AC60&lt;=0,"",VLOOKUP(B60,country_opex,7,FALSE)/AC60)</f>
        <v/>
      </c>
      <c r="AF60" s="33">
        <f>((D60*O60/diesel_nmpg)*diesel_co2pg-(battery/range_nm)*D60*O60*VLOOKUP(B60,country_opex,4,FALSE))/1000</f>
        <v/>
      </c>
      <c r="AG60" s="31" t="n">
        <v>224880</v>
      </c>
      <c r="AH60" s="32" t="n"/>
      <c r="AI60" s="32" t="n"/>
      <c r="AJ60" s="39" t="n">
        <v>0.1</v>
      </c>
      <c r="AK60" s="34">
        <f>IF(AG60="","",AG60*AJ60)</f>
        <v/>
      </c>
      <c r="AL60" s="34">
        <f>IF(OR(AG60="",R60=0),"",MIN(IF(AS60="",9.9E+99,AS60),FLOOR(AK60/R60,1)))</f>
        <v/>
      </c>
      <c r="AM60" s="38">
        <f>IF(AL60="","",AL60*T60)</f>
        <v/>
      </c>
      <c r="AN60" s="36">
        <f>IF(OR(AG60="",R60=0),"",MIN(IF(AS60="",9.9E+99,AS60),AK60/R60))</f>
        <v/>
      </c>
      <c r="AO60" s="38">
        <f>IF(AN60="","",AN60*T60)</f>
        <v/>
      </c>
      <c r="AP60" s="40" t="n"/>
      <c r="AQ60" s="41" t="n"/>
      <c r="AR60" s="41" t="n"/>
      <c r="AS60" s="42" t="n"/>
      <c r="AT60" s="43">
        <f>IF(((S60*pax_cap*load_thin*ROUND(K60*L60*revleg_thin,0))-(((battery/range_nm)*D60*ROUND(K60*L60*revleg_thin,0)*VLOOKUP(B60,country_opex,3,FALSE))+V60+W60+X60+Y60+Z60))&lt;=0,"",VLOOKUP(B60,country_opex,7,FALSE)/((S60*pax_cap*load_thin*ROUND(K60*L60*revleg_thin,0))-(((battery/range_nm)*D60*ROUND(K60*L60*revleg_thin,0)*VLOOKUP(B60,country_opex,3,FALSE))+V60+W60+X60+Y60+Z60)))</f>
        <v/>
      </c>
      <c r="AU60" s="43">
        <f>IF(((S60*pax_cap*load_mid*ROUND(K60*L60*revleg_mid,0))-(((battery/range_nm)*D60*ROUND(K60*L60*revleg_mid,0)*VLOOKUP(B60,country_opex,3,FALSE))+V60+W60+X60+Y60+Z60))&lt;=0,"",VLOOKUP(B60,country_opex,7,FALSE)/((S60*pax_cap*load_mid*ROUND(K60*L60*revleg_mid,0))-(((battery/range_nm)*D60*ROUND(K60*L60*revleg_mid,0)*VLOOKUP(B60,country_opex,3,FALSE))+V60+W60+X60+Y60+Z60)))</f>
        <v/>
      </c>
      <c r="AV60" s="43">
        <f>IF(((S60*pax_cap*load_full*ROUND(K60*L60*revleg_full,0))-(((battery/range_nm)*D60*ROUND(K60*L60*revleg_full,0)*VLOOKUP(B60,country_opex,3,FALSE))+V60+W60+X60+Y60+Z60))&lt;=0,"",VLOOKUP(B60,country_opex,7,FALSE)/((S60*pax_cap*load_full*ROUND(K60*L60*revleg_full,0))-(((battery/range_nm)*D60*ROUND(K60*L60*revleg_full,0)*VLOOKUP(B60,country_opex,3,FALSE))+V60+W60+X60+Y60+Z60)))</f>
        <v/>
      </c>
      <c r="AW60" s="44" t="inlineStr">
        <is>
          <t>COMPARABLE premium per-seat (no scheduled boat on this exact O-D today): Trans Cote d'Azur Riviera catamaran tier, anchored to the same operator's Nice-&gt;Monaco-with-landing EUR 49.50 RT (~$26.7 one-way). Conservative -- Nice-Cannes is ~2x the distance of Nice-Monaco, so a true scheduled fare would likely be higher (cf. Cannes-&gt;Saint-Tropez EUR 71 RT for 25 nm).</t>
        </is>
      </c>
      <c r="AX60" s="44" t="n"/>
    </row>
    <row r="61">
      <c r="A61" s="29" t="inlineStr">
        <is>
          <t>Bolt France Riviera</t>
        </is>
      </c>
      <c r="B61" s="29" t="inlineStr">
        <is>
          <t>France</t>
        </is>
      </c>
      <c r="C61" s="30" t="inlineStr">
        <is>
          <t>Monaco → Sanremo</t>
        </is>
      </c>
      <c r="D61" s="31" t="n">
        <v>13</v>
      </c>
      <c r="E61" s="26" t="n"/>
      <c r="F61" s="32" t="n"/>
      <c r="G61" s="32" t="n"/>
      <c r="H61" s="19" t="n">
        <v>1</v>
      </c>
      <c r="I61" s="33">
        <f>60*D61/cruise_kt</f>
        <v/>
      </c>
      <c r="J61" s="33">
        <f>I61+turn_min+dwell_min</f>
        <v/>
      </c>
      <c r="K61" s="34">
        <f>MIN(10,FLOOR(60*service_hr/J61,1))</f>
        <v/>
      </c>
      <c r="L61" s="34">
        <f>ROUND(365*mech_uptime*H61,0)</f>
        <v/>
      </c>
      <c r="M61" s="35">
        <f>mech_uptime</f>
        <v/>
      </c>
      <c r="N61" s="35">
        <f>revleg_sel</f>
        <v/>
      </c>
      <c r="O61" s="34">
        <f>ROUND(K61*L61*revleg_sel,0)</f>
        <v/>
      </c>
      <c r="P61" s="36">
        <f>load_sel</f>
        <v/>
      </c>
      <c r="Q61" s="36">
        <f>pax_cap*P61</f>
        <v/>
      </c>
      <c r="R61" s="34">
        <f>Q61*O61</f>
        <v/>
      </c>
      <c r="S61" s="37">
        <f>E61*discount</f>
        <v/>
      </c>
      <c r="T61" s="38">
        <f>S61*R61</f>
        <v/>
      </c>
      <c r="U61" s="38">
        <f>(battery/range_nm)*D61*O61*VLOOKUP(B61,country_opex,3,FALSE)</f>
        <v/>
      </c>
      <c r="V61" s="38">
        <f>VLOOKUP(B61,country_opex,2,FALSE)*crew_factor</f>
        <v/>
      </c>
      <c r="W61" s="38">
        <f>VLOOKUP(B61,country_opex,5,FALSE)</f>
        <v/>
      </c>
      <c r="X61" s="38">
        <f>maint</f>
        <v/>
      </c>
      <c r="Y61" s="38">
        <f>VLOOKUP(B61,country_opex,7,FALSE)*ins_pct</f>
        <v/>
      </c>
      <c r="Z61" s="38">
        <f>charge_berth</f>
        <v/>
      </c>
      <c r="AA61" s="38">
        <f>U61+V61+W61+X61+Y61+Z61</f>
        <v/>
      </c>
      <c r="AB61" s="38">
        <f>VLOOKUP(B61,country_opex,7,FALSE)/dep_years</f>
        <v/>
      </c>
      <c r="AC61" s="38">
        <f>T61-AA61</f>
        <v/>
      </c>
      <c r="AD61" s="35">
        <f>IF(T61=0,"",AC61/T61)</f>
        <v/>
      </c>
      <c r="AE61" s="36">
        <f>IF(AC61&lt;=0,"",VLOOKUP(B61,country_opex,7,FALSE)/AC61)</f>
        <v/>
      </c>
      <c r="AF61" s="33">
        <f>((D61*O61/diesel_nmpg)*diesel_co2pg-(battery/range_nm)*D61*O61*VLOOKUP(B61,country_opex,4,FALSE))/1000</f>
        <v/>
      </c>
      <c r="AG61" s="31" t="n">
        <v>4748</v>
      </c>
      <c r="AH61" s="32" t="n"/>
      <c r="AI61" s="32" t="n"/>
      <c r="AJ61" s="39" t="n">
        <v>0.1</v>
      </c>
      <c r="AK61" s="34">
        <f>IF(AG61="","",AG61*AJ61)</f>
        <v/>
      </c>
      <c r="AL61" s="34">
        <f>IF(OR(AG61="",R61=0),"",MIN(IF(AS61="",9.9E+99,AS61),FLOOR(AK61/R61,1)))</f>
        <v/>
      </c>
      <c r="AM61" s="38">
        <f>IF(AL61="","",AL61*T61)</f>
        <v/>
      </c>
      <c r="AN61" s="36">
        <f>IF(OR(AG61="",R61=0),"",MIN(IF(AS61="",9.9E+99,AS61),AK61/R61))</f>
        <v/>
      </c>
      <c r="AO61" s="38">
        <f>IF(AN61="","",AN61*T61)</f>
        <v/>
      </c>
      <c r="AP61" s="40" t="n"/>
      <c r="AQ61" s="41" t="n"/>
      <c r="AR61" s="41" t="n"/>
      <c r="AS61" s="42" t="n"/>
      <c r="AT61" s="43">
        <f>IF(((S61*pax_cap*load_thin*ROUND(K61*L61*revleg_thin,0))-(((battery/range_nm)*D61*ROUND(K61*L61*revleg_thin,0)*VLOOKUP(B61,country_opex,3,FALSE))+V61+W61+X61+Y61+Z61))&lt;=0,"",VLOOKUP(B61,country_opex,7,FALSE)/((S61*pax_cap*load_thin*ROUND(K61*L61*revleg_thin,0))-(((battery/range_nm)*D61*ROUND(K61*L61*revleg_thin,0)*VLOOKUP(B61,country_opex,3,FALSE))+V61+W61+X61+Y61+Z61)))</f>
        <v/>
      </c>
      <c r="AU61" s="43">
        <f>IF(((S61*pax_cap*load_mid*ROUND(K61*L61*revleg_mid,0))-(((battery/range_nm)*D61*ROUND(K61*L61*revleg_mid,0)*VLOOKUP(B61,country_opex,3,FALSE))+V61+W61+X61+Y61+Z61))&lt;=0,"",VLOOKUP(B61,country_opex,7,FALSE)/((S61*pax_cap*load_mid*ROUND(K61*L61*revleg_mid,0))-(((battery/range_nm)*D61*ROUND(K61*L61*revleg_mid,0)*VLOOKUP(B61,country_opex,3,FALSE))+V61+W61+X61+Y61+Z61)))</f>
        <v/>
      </c>
      <c r="AV61" s="43">
        <f>IF(((S61*pax_cap*load_full*ROUND(K61*L61*revleg_full,0))-(((battery/range_nm)*D61*ROUND(K61*L61*revleg_full,0)*VLOOKUP(B61,country_opex,3,FALSE))+V61+W61+X61+Y61+Z61))&lt;=0,"",VLOOKUP(B61,country_opex,7,FALSE)/((S61*pax_cap*load_full*ROUND(K61*L61*revleg_full,0))-(((battery/range_nm)*D61*ROUND(K61*L61*revleg_full,0)*VLOOKUP(B61,country_opex,3,FALSE))+V61+W61+X61+Y61+Z61)))</f>
        <v/>
      </c>
      <c r="AW61" s="44" t="n"/>
      <c r="AX61" s="44" t="n"/>
    </row>
    <row r="62">
      <c r="A62" s="29" t="inlineStr">
        <is>
          <t>Bolt France Riviera</t>
        </is>
      </c>
      <c r="B62" s="29" t="inlineStr">
        <is>
          <t>France</t>
        </is>
      </c>
      <c r="C62" s="30" t="inlineStr">
        <is>
          <t>Cannes → Saint-Tropez</t>
        </is>
      </c>
      <c r="D62" s="31" t="n">
        <v>25</v>
      </c>
      <c r="E62" s="26" t="n">
        <v>38.3</v>
      </c>
      <c r="F62" s="32" t="inlineStr">
        <is>
          <t>T2</t>
        </is>
      </c>
      <c r="G62" s="32" t="inlineStr">
        <is>
          <t>med</t>
        </is>
      </c>
      <c r="H62" s="19" t="n">
        <v>1</v>
      </c>
      <c r="I62" s="33">
        <f>60*D62/cruise_kt</f>
        <v/>
      </c>
      <c r="J62" s="33">
        <f>I62+turn_min+dwell_min</f>
        <v/>
      </c>
      <c r="K62" s="34">
        <f>MIN(10,FLOOR(60*service_hr/J62,1))</f>
        <v/>
      </c>
      <c r="L62" s="34">
        <f>ROUND(365*mech_uptime*H62,0)</f>
        <v/>
      </c>
      <c r="M62" s="35">
        <f>mech_uptime</f>
        <v/>
      </c>
      <c r="N62" s="35">
        <f>revleg_sel</f>
        <v/>
      </c>
      <c r="O62" s="34">
        <f>ROUND(K62*L62*revleg_sel,0)</f>
        <v/>
      </c>
      <c r="P62" s="36">
        <f>load_sel</f>
        <v/>
      </c>
      <c r="Q62" s="36">
        <f>pax_cap*P62</f>
        <v/>
      </c>
      <c r="R62" s="34">
        <f>Q62*O62</f>
        <v/>
      </c>
      <c r="S62" s="37">
        <f>E62*discount</f>
        <v/>
      </c>
      <c r="T62" s="38">
        <f>S62*R62</f>
        <v/>
      </c>
      <c r="U62" s="38">
        <f>(battery/range_nm)*D62*O62*VLOOKUP(B62,country_opex,3,FALSE)</f>
        <v/>
      </c>
      <c r="V62" s="38">
        <f>VLOOKUP(B62,country_opex,2,FALSE)*crew_factor</f>
        <v/>
      </c>
      <c r="W62" s="38">
        <f>VLOOKUP(B62,country_opex,5,FALSE)</f>
        <v/>
      </c>
      <c r="X62" s="38">
        <f>maint</f>
        <v/>
      </c>
      <c r="Y62" s="38">
        <f>VLOOKUP(B62,country_opex,7,FALSE)*ins_pct</f>
        <v/>
      </c>
      <c r="Z62" s="38">
        <f>charge_berth</f>
        <v/>
      </c>
      <c r="AA62" s="38">
        <f>U62+V62+W62+X62+Y62+Z62</f>
        <v/>
      </c>
      <c r="AB62" s="38">
        <f>VLOOKUP(B62,country_opex,7,FALSE)/dep_years</f>
        <v/>
      </c>
      <c r="AC62" s="38">
        <f>T62-AA62</f>
        <v/>
      </c>
      <c r="AD62" s="35">
        <f>IF(T62=0,"",AC62/T62)</f>
        <v/>
      </c>
      <c r="AE62" s="36">
        <f>IF(AC62&lt;=0,"",VLOOKUP(B62,country_opex,7,FALSE)/AC62)</f>
        <v/>
      </c>
      <c r="AF62" s="33">
        <f>((D62*O62/diesel_nmpg)*diesel_co2pg-(battery/range_nm)*D62*O62*VLOOKUP(B62,country_opex,4,FALSE))/1000</f>
        <v/>
      </c>
      <c r="AG62" s="31" t="n">
        <v>32000</v>
      </c>
      <c r="AH62" s="32" t="n"/>
      <c r="AI62" s="32" t="n"/>
      <c r="AJ62" s="39" t="n">
        <v>0.1</v>
      </c>
      <c r="AK62" s="34">
        <f>IF(AG62="","",AG62*AJ62)</f>
        <v/>
      </c>
      <c r="AL62" s="34">
        <f>IF(OR(AG62="",R62=0),"",MIN(IF(AS62="",9.9E+99,AS62),FLOOR(AK62/R62,1)))</f>
        <v/>
      </c>
      <c r="AM62" s="38">
        <f>IF(AL62="","",AL62*T62)</f>
        <v/>
      </c>
      <c r="AN62" s="36">
        <f>IF(OR(AG62="",R62=0),"",MIN(IF(AS62="",9.9E+99,AS62),AK62/R62))</f>
        <v/>
      </c>
      <c r="AO62" s="38">
        <f>IF(AN62="","",AN62*T62)</f>
        <v/>
      </c>
      <c r="AP62" s="40" t="n"/>
      <c r="AQ62" s="41" t="n"/>
      <c r="AR62" s="41" t="n"/>
      <c r="AS62" s="42" t="n"/>
      <c r="AT62" s="43">
        <f>IF(((S62*pax_cap*load_thin*ROUND(K62*L62*revleg_thin,0))-(((battery/range_nm)*D62*ROUND(K62*L62*revleg_thin,0)*VLOOKUP(B62,country_opex,3,FALSE))+V62+W62+X62+Y62+Z62))&lt;=0,"",VLOOKUP(B62,country_opex,7,FALSE)/((S62*pax_cap*load_thin*ROUND(K62*L62*revleg_thin,0))-(((battery/range_nm)*D62*ROUND(K62*L62*revleg_thin,0)*VLOOKUP(B62,country_opex,3,FALSE))+V62+W62+X62+Y62+Z62)))</f>
        <v/>
      </c>
      <c r="AU62" s="43">
        <f>IF(((S62*pax_cap*load_mid*ROUND(K62*L62*revleg_mid,0))-(((battery/range_nm)*D62*ROUND(K62*L62*revleg_mid,0)*VLOOKUP(B62,country_opex,3,FALSE))+V62+W62+X62+Y62+Z62))&lt;=0,"",VLOOKUP(B62,country_opex,7,FALSE)/((S62*pax_cap*load_mid*ROUND(K62*L62*revleg_mid,0))-(((battery/range_nm)*D62*ROUND(K62*L62*revleg_mid,0)*VLOOKUP(B62,country_opex,3,FALSE))+V62+W62+X62+Y62+Z62)))</f>
        <v/>
      </c>
      <c r="AV62" s="43">
        <f>IF(((S62*pax_cap*load_full*ROUND(K62*L62*revleg_full,0))-(((battery/range_nm)*D62*ROUND(K62*L62*revleg_full,0)*VLOOKUP(B62,country_opex,3,FALSE))+V62+W62+X62+Y62+Z62))&lt;=0,"",VLOOKUP(B62,country_opex,7,FALSE)/((S62*pax_cap*load_full*ROUND(K62*L62*revleg_full,0))-(((battery/range_nm)*D62*ROUND(K62*L62*revleg_full,0)*VLOOKUP(B62,country_opex,3,FALSE))+V62+W62+X62+Y62+Z62)))</f>
        <v/>
      </c>
      <c r="AW62" s="44" t="inlineStr">
        <is>
          <t>PREMIUM tier: Trans Cote d'Azur scheduled fast catamaran Cannes&lt;-&gt;Saint-Tropez EUR 71 adult RT (2026) = ~EUR 35.5 one-way x 1.08 = ~$38.3.</t>
        </is>
      </c>
      <c r="AX62" s="44" t="n"/>
    </row>
    <row r="63">
      <c r="A63" s="29" t="inlineStr">
        <is>
          <t>Bolt France Riviera</t>
        </is>
      </c>
      <c r="B63" s="29" t="inlineStr">
        <is>
          <t>France</t>
        </is>
      </c>
      <c r="C63" s="30" t="inlineStr">
        <is>
          <t>Nice → Saint-Tropez</t>
        </is>
      </c>
      <c r="D63" s="31" t="n">
        <v>32</v>
      </c>
      <c r="E63" s="26" t="n">
        <v>45.4</v>
      </c>
      <c r="F63" s="32" t="inlineStr">
        <is>
          <t>T2</t>
        </is>
      </c>
      <c r="G63" s="32" t="inlineStr">
        <is>
          <t>med</t>
        </is>
      </c>
      <c r="H63" s="19" t="n">
        <v>1</v>
      </c>
      <c r="I63" s="33">
        <f>60*D63/cruise_kt</f>
        <v/>
      </c>
      <c r="J63" s="33">
        <f>I63+turn_min+dwell_min</f>
        <v/>
      </c>
      <c r="K63" s="34">
        <f>MIN(10,FLOOR(60*service_hr/J63,1))</f>
        <v/>
      </c>
      <c r="L63" s="34">
        <f>ROUND(365*mech_uptime*H63,0)</f>
        <v/>
      </c>
      <c r="M63" s="35">
        <f>mech_uptime</f>
        <v/>
      </c>
      <c r="N63" s="35">
        <f>revleg_sel</f>
        <v/>
      </c>
      <c r="O63" s="34">
        <f>ROUND(K63*L63*revleg_sel,0)</f>
        <v/>
      </c>
      <c r="P63" s="36">
        <f>load_sel</f>
        <v/>
      </c>
      <c r="Q63" s="36">
        <f>pax_cap*P63</f>
        <v/>
      </c>
      <c r="R63" s="34">
        <f>Q63*O63</f>
        <v/>
      </c>
      <c r="S63" s="37">
        <f>E63*discount</f>
        <v/>
      </c>
      <c r="T63" s="38">
        <f>S63*R63</f>
        <v/>
      </c>
      <c r="U63" s="38">
        <f>(battery/range_nm)*D63*O63*VLOOKUP(B63,country_opex,3,FALSE)</f>
        <v/>
      </c>
      <c r="V63" s="38">
        <f>VLOOKUP(B63,country_opex,2,FALSE)*crew_factor</f>
        <v/>
      </c>
      <c r="W63" s="38">
        <f>VLOOKUP(B63,country_opex,5,FALSE)</f>
        <v/>
      </c>
      <c r="X63" s="38">
        <f>maint</f>
        <v/>
      </c>
      <c r="Y63" s="38">
        <f>VLOOKUP(B63,country_opex,7,FALSE)*ins_pct</f>
        <v/>
      </c>
      <c r="Z63" s="38">
        <f>charge_berth</f>
        <v/>
      </c>
      <c r="AA63" s="38">
        <f>U63+V63+W63+X63+Y63+Z63</f>
        <v/>
      </c>
      <c r="AB63" s="38">
        <f>VLOOKUP(B63,country_opex,7,FALSE)/dep_years</f>
        <v/>
      </c>
      <c r="AC63" s="38">
        <f>T63-AA63</f>
        <v/>
      </c>
      <c r="AD63" s="35">
        <f>IF(T63=0,"",AC63/T63)</f>
        <v/>
      </c>
      <c r="AE63" s="36">
        <f>IF(AC63&lt;=0,"",VLOOKUP(B63,country_opex,7,FALSE)/AC63)</f>
        <v/>
      </c>
      <c r="AF63" s="33">
        <f>((D63*O63/diesel_nmpg)*diesel_co2pg-(battery/range_nm)*D63*O63*VLOOKUP(B63,country_opex,4,FALSE))/1000</f>
        <v/>
      </c>
      <c r="AG63" s="31" t="n">
        <v>32000</v>
      </c>
      <c r="AH63" s="32" t="n"/>
      <c r="AI63" s="32" t="n"/>
      <c r="AJ63" s="39" t="n">
        <v>0.1</v>
      </c>
      <c r="AK63" s="34">
        <f>IF(AG63="","",AG63*AJ63)</f>
        <v/>
      </c>
      <c r="AL63" s="34">
        <f>IF(OR(AG63="",R63=0),"",MIN(IF(AS63="",9.9E+99,AS63),FLOOR(AK63/R63,1)))</f>
        <v/>
      </c>
      <c r="AM63" s="38">
        <f>IF(AL63="","",AL63*T63)</f>
        <v/>
      </c>
      <c r="AN63" s="36">
        <f>IF(OR(AG63="",R63=0),"",MIN(IF(AS63="",9.9E+99,AS63),AK63/R63))</f>
        <v/>
      </c>
      <c r="AO63" s="38">
        <f>IF(AN63="","",AN63*T63)</f>
        <v/>
      </c>
      <c r="AP63" s="40" t="n"/>
      <c r="AQ63" s="41" t="n"/>
      <c r="AR63" s="41" t="n"/>
      <c r="AS63" s="42" t="n"/>
      <c r="AT63" s="43">
        <f>IF(((S63*pax_cap*load_thin*ROUND(K63*L63*revleg_thin,0))-(((battery/range_nm)*D63*ROUND(K63*L63*revleg_thin,0)*VLOOKUP(B63,country_opex,3,FALSE))+V63+W63+X63+Y63+Z63))&lt;=0,"",VLOOKUP(B63,country_opex,7,FALSE)/((S63*pax_cap*load_thin*ROUND(K63*L63*revleg_thin,0))-(((battery/range_nm)*D63*ROUND(K63*L63*revleg_thin,0)*VLOOKUP(B63,country_opex,3,FALSE))+V63+W63+X63+Y63+Z63)))</f>
        <v/>
      </c>
      <c r="AU63" s="43">
        <f>IF(((S63*pax_cap*load_mid*ROUND(K63*L63*revleg_mid,0))-(((battery/range_nm)*D63*ROUND(K63*L63*revleg_mid,0)*VLOOKUP(B63,country_opex,3,FALSE))+V63+W63+X63+Y63+Z63))&lt;=0,"",VLOOKUP(B63,country_opex,7,FALSE)/((S63*pax_cap*load_mid*ROUND(K63*L63*revleg_mid,0))-(((battery/range_nm)*D63*ROUND(K63*L63*revleg_mid,0)*VLOOKUP(B63,country_opex,3,FALSE))+V63+W63+X63+Y63+Z63)))</f>
        <v/>
      </c>
      <c r="AV63" s="43">
        <f>IF(((S63*pax_cap*load_full*ROUND(K63*L63*revleg_full,0))-(((battery/range_nm)*D63*ROUND(K63*L63*revleg_full,0)*VLOOKUP(B63,country_opex,3,FALSE))+V63+W63+X63+Y63+Z63))&lt;=0,"",VLOOKUP(B63,country_opex,7,FALSE)/((S63*pax_cap*load_full*ROUND(K63*L63*revleg_full,0))-(((battery/range_nm)*D63*ROUND(K63*L63*revleg_full,0)*VLOOKUP(B63,country_opex,3,FALSE))+V63+W63+X63+Y63+Z63)))</f>
        <v/>
      </c>
      <c r="AW63" s="44" t="inlineStr">
        <is>
          <t>PREMIUM tier: Trans Cote d'Azur scheduled catamaran Nice&lt;-&gt;Saint-Tropez EUR 84 adult RT (2026) = ~EUR 42 one-way x 1.08 = ~$45.4 (higher than the Cannes route, reflecting the longer leg).</t>
        </is>
      </c>
      <c r="AX63" s="44" t="n"/>
    </row>
    <row r="64">
      <c r="A64" s="29" t="inlineStr">
        <is>
          <t>Bolt Greece</t>
        </is>
      </c>
      <c r="B64" s="29" t="inlineStr">
        <is>
          <t>Greece</t>
        </is>
      </c>
      <c r="C64" s="30" t="inlineStr">
        <is>
          <t>Mykonos Town → Delos</t>
        </is>
      </c>
      <c r="D64" s="31" t="n">
        <v>3.5</v>
      </c>
      <c r="E64" s="26" t="n">
        <v>54</v>
      </c>
      <c r="F64" s="32" t="inlineStr">
        <is>
          <t>T2</t>
        </is>
      </c>
      <c r="G64" s="32" t="inlineStr">
        <is>
          <t>med</t>
        </is>
      </c>
      <c r="H64" s="19" t="n">
        <v>1</v>
      </c>
      <c r="I64" s="33">
        <f>60*D64/cruise_kt</f>
        <v/>
      </c>
      <c r="J64" s="33">
        <f>I64+turn_min+dwell_min</f>
        <v/>
      </c>
      <c r="K64" s="34">
        <f>MIN(10,FLOOR(60*service_hr/J64,1))</f>
        <v/>
      </c>
      <c r="L64" s="34">
        <f>ROUND(365*mech_uptime*H64,0)</f>
        <v/>
      </c>
      <c r="M64" s="35">
        <f>mech_uptime</f>
        <v/>
      </c>
      <c r="N64" s="35">
        <f>revleg_sel</f>
        <v/>
      </c>
      <c r="O64" s="34">
        <f>ROUND(K64*L64*revleg_sel,0)</f>
        <v/>
      </c>
      <c r="P64" s="36">
        <f>load_sel</f>
        <v/>
      </c>
      <c r="Q64" s="36">
        <f>pax_cap*P64</f>
        <v/>
      </c>
      <c r="R64" s="34">
        <f>Q64*O64</f>
        <v/>
      </c>
      <c r="S64" s="37">
        <f>E64*discount</f>
        <v/>
      </c>
      <c r="T64" s="38">
        <f>S64*R64</f>
        <v/>
      </c>
      <c r="U64" s="38">
        <f>(battery/range_nm)*D64*O64*VLOOKUP(B64,country_opex,3,FALSE)</f>
        <v/>
      </c>
      <c r="V64" s="38">
        <f>VLOOKUP(B64,country_opex,2,FALSE)*crew_factor</f>
        <v/>
      </c>
      <c r="W64" s="38">
        <f>VLOOKUP(B64,country_opex,5,FALSE)</f>
        <v/>
      </c>
      <c r="X64" s="38">
        <f>maint</f>
        <v/>
      </c>
      <c r="Y64" s="38">
        <f>VLOOKUP(B64,country_opex,7,FALSE)*ins_pct</f>
        <v/>
      </c>
      <c r="Z64" s="38">
        <f>charge_berth</f>
        <v/>
      </c>
      <c r="AA64" s="38">
        <f>U64+V64+W64+X64+Y64+Z64</f>
        <v/>
      </c>
      <c r="AB64" s="38">
        <f>VLOOKUP(B64,country_opex,7,FALSE)/dep_years</f>
        <v/>
      </c>
      <c r="AC64" s="38">
        <f>T64-AA64</f>
        <v/>
      </c>
      <c r="AD64" s="35">
        <f>IF(T64=0,"",AC64/T64)</f>
        <v/>
      </c>
      <c r="AE64" s="36">
        <f>IF(AC64&lt;=0,"",VLOOKUP(B64,country_opex,7,FALSE)/AC64)</f>
        <v/>
      </c>
      <c r="AF64" s="33">
        <f>((D64*O64/diesel_nmpg)*diesel_co2pg-(battery/range_nm)*D64*O64*VLOOKUP(B64,country_opex,4,FALSE))/1000</f>
        <v/>
      </c>
      <c r="AG64" s="31" t="n">
        <v>120000</v>
      </c>
      <c r="AH64" s="32" t="n"/>
      <c r="AI64" s="32" t="n"/>
      <c r="AJ64" s="39" t="n">
        <v>0.1</v>
      </c>
      <c r="AK64" s="34">
        <f>IF(AG64="","",AG64*AJ64)</f>
        <v/>
      </c>
      <c r="AL64" s="34">
        <f>IF(OR(AG64="",R64=0),"",MIN(IF(AS64="",9.9E+99,AS64),FLOOR(AK64/R64,1)))</f>
        <v/>
      </c>
      <c r="AM64" s="38">
        <f>IF(AL64="","",AL64*T64)</f>
        <v/>
      </c>
      <c r="AN64" s="36">
        <f>IF(OR(AG64="",R64=0),"",MIN(IF(AS64="",9.9E+99,AS64),AK64/R64))</f>
        <v/>
      </c>
      <c r="AO64" s="38">
        <f>IF(AN64="","",AN64*T64)</f>
        <v/>
      </c>
      <c r="AP64" s="40" t="n"/>
      <c r="AQ64" s="41" t="n"/>
      <c r="AR64" s="41" t="n"/>
      <c r="AS64" s="42" t="n"/>
      <c r="AT64" s="43">
        <f>IF(((S64*pax_cap*load_thin*ROUND(K64*L64*revleg_thin,0))-(((battery/range_nm)*D64*ROUND(K64*L64*revleg_thin,0)*VLOOKUP(B64,country_opex,3,FALSE))+V64+W64+X64+Y64+Z64))&lt;=0,"",VLOOKUP(B64,country_opex,7,FALSE)/((S64*pax_cap*load_thin*ROUND(K64*L64*revleg_thin,0))-(((battery/range_nm)*D64*ROUND(K64*L64*revleg_thin,0)*VLOOKUP(B64,country_opex,3,FALSE))+V64+W64+X64+Y64+Z64)))</f>
        <v/>
      </c>
      <c r="AU64" s="43">
        <f>IF(((S64*pax_cap*load_mid*ROUND(K64*L64*revleg_mid,0))-(((battery/range_nm)*D64*ROUND(K64*L64*revleg_mid,0)*VLOOKUP(B64,country_opex,3,FALSE))+V64+W64+X64+Y64+Z64))&lt;=0,"",VLOOKUP(B64,country_opex,7,FALSE)/((S64*pax_cap*load_mid*ROUND(K64*L64*revleg_mid,0))-(((battery/range_nm)*D64*ROUND(K64*L64*revleg_mid,0)*VLOOKUP(B64,country_opex,3,FALSE))+V64+W64+X64+Y64+Z64)))</f>
        <v/>
      </c>
      <c r="AV64" s="43">
        <f>IF(((S64*pax_cap*load_full*ROUND(K64*L64*revleg_full,0))-(((battery/range_nm)*D64*ROUND(K64*L64*revleg_full,0)*VLOOKUP(B64,country_opex,3,FALSE))+V64+W64+X64+Y64+Z64))&lt;=0,"",VLOOKUP(B64,country_opex,7,FALSE)/((S64*pax_cap*load_full*ROUND(K64*L64*revleg_full,0))-(((battery/range_nm)*D64*ROUND(K64*L64*revleg_full,0)*VLOOKUP(B64,country_opex,3,FALSE))+V64+W64+X64+Y64+Z64)))</f>
        <v/>
      </c>
      <c r="AW64" s="44" t="inlineStr">
        <is>
          <t>PREMIUM scheduled per-seat = guided half-day boat tour ~EUR 50 (~$54, delostours.gr / Tripadvisor); EUR 79 all-in incl. ferry+entry+guide (archaeology-travel). The modeling tier uses the EUR 50 guided per-seat.</t>
        </is>
      </c>
      <c r="AX64" s="44" t="n"/>
    </row>
    <row r="65">
      <c r="A65" s="29" t="inlineStr">
        <is>
          <t>Bolt Greece</t>
        </is>
      </c>
      <c r="B65" s="29" t="inlineStr">
        <is>
          <t>Greece</t>
        </is>
      </c>
      <c r="C65" s="30" t="inlineStr">
        <is>
          <t>Glyfada (Athens Riviera) → Vouliagmeni (Astir resort cluster)</t>
        </is>
      </c>
      <c r="D65" s="31" t="n">
        <v>5</v>
      </c>
      <c r="E65" s="26" t="n"/>
      <c r="F65" s="32" t="n"/>
      <c r="G65" s="32" t="n"/>
      <c r="H65" s="19" t="n">
        <v>1</v>
      </c>
      <c r="I65" s="33">
        <f>60*D65/cruise_kt</f>
        <v/>
      </c>
      <c r="J65" s="33">
        <f>I65+turn_min+dwell_min</f>
        <v/>
      </c>
      <c r="K65" s="34">
        <f>MIN(16,FLOOR(60*service_hr/J65,1))</f>
        <v/>
      </c>
      <c r="L65" s="34">
        <f>ROUND(365*mech_uptime*H65,0)</f>
        <v/>
      </c>
      <c r="M65" s="35">
        <f>mech_uptime</f>
        <v/>
      </c>
      <c r="N65" s="35">
        <f>revleg_sel</f>
        <v/>
      </c>
      <c r="O65" s="34">
        <f>ROUND(K65*L65*revleg_sel,0)</f>
        <v/>
      </c>
      <c r="P65" s="36">
        <f>load_sel</f>
        <v/>
      </c>
      <c r="Q65" s="36">
        <f>pax_cap*P65</f>
        <v/>
      </c>
      <c r="R65" s="34">
        <f>Q65*O65</f>
        <v/>
      </c>
      <c r="S65" s="37">
        <f>E65*discount</f>
        <v/>
      </c>
      <c r="T65" s="38">
        <f>S65*R65</f>
        <v/>
      </c>
      <c r="U65" s="38">
        <f>(battery/range_nm)*D65*O65*VLOOKUP(B65,country_opex,3,FALSE)</f>
        <v/>
      </c>
      <c r="V65" s="38">
        <f>VLOOKUP(B65,country_opex,2,FALSE)*crew_factor</f>
        <v/>
      </c>
      <c r="W65" s="38">
        <f>VLOOKUP(B65,country_opex,5,FALSE)</f>
        <v/>
      </c>
      <c r="X65" s="38">
        <f>maint</f>
        <v/>
      </c>
      <c r="Y65" s="38">
        <f>VLOOKUP(B65,country_opex,7,FALSE)*ins_pct</f>
        <v/>
      </c>
      <c r="Z65" s="38">
        <f>charge_berth</f>
        <v/>
      </c>
      <c r="AA65" s="38">
        <f>U65+V65+W65+X65+Y65+Z65</f>
        <v/>
      </c>
      <c r="AB65" s="38">
        <f>VLOOKUP(B65,country_opex,7,FALSE)/dep_years</f>
        <v/>
      </c>
      <c r="AC65" s="38">
        <f>T65-AA65</f>
        <v/>
      </c>
      <c r="AD65" s="35">
        <f>IF(T65=0,"",AC65/T65)</f>
        <v/>
      </c>
      <c r="AE65" s="36">
        <f>IF(AC65&lt;=0,"",VLOOKUP(B65,country_opex,7,FALSE)/AC65)</f>
        <v/>
      </c>
      <c r="AF65" s="33">
        <f>((D65*O65/diesel_nmpg)*diesel_co2pg-(battery/range_nm)*D65*O65*VLOOKUP(B65,country_opex,4,FALSE))/1000</f>
        <v/>
      </c>
      <c r="AG65" s="31" t="n"/>
      <c r="AH65" s="32" t="n"/>
      <c r="AI65" s="32" t="n"/>
      <c r="AJ65" s="39" t="n">
        <v>0.1</v>
      </c>
      <c r="AK65" s="34">
        <f>IF(AG65="","",AG65*AJ65)</f>
        <v/>
      </c>
      <c r="AL65" s="34">
        <f>IF(OR(AG65="",R65=0),"",MIN(IF(AS65="",9.9E+99,AS65),FLOOR(AK65/R65,1)))</f>
        <v/>
      </c>
      <c r="AM65" s="38">
        <f>IF(AL65="","",AL65*T65)</f>
        <v/>
      </c>
      <c r="AN65" s="36">
        <f>IF(OR(AG65="",R65=0),"",MIN(IF(AS65="",9.9E+99,AS65),AK65/R65))</f>
        <v/>
      </c>
      <c r="AO65" s="38">
        <f>IF(AN65="","",AN65*T65)</f>
        <v/>
      </c>
      <c r="AP65" s="40" t="n"/>
      <c r="AQ65" s="41" t="n"/>
      <c r="AR65" s="41" t="n"/>
      <c r="AS65" s="42" t="n"/>
      <c r="AT65" s="43">
        <f>IF(((S65*pax_cap*load_thin*ROUND(K65*L65*revleg_thin,0))-(((battery/range_nm)*D65*ROUND(K65*L65*revleg_thin,0)*VLOOKUP(B65,country_opex,3,FALSE))+V65+W65+X65+Y65+Z65))&lt;=0,"",VLOOKUP(B65,country_opex,7,FALSE)/((S65*pax_cap*load_thin*ROUND(K65*L65*revleg_thin,0))-(((battery/range_nm)*D65*ROUND(K65*L65*revleg_thin,0)*VLOOKUP(B65,country_opex,3,FALSE))+V65+W65+X65+Y65+Z65)))</f>
        <v/>
      </c>
      <c r="AU65" s="43">
        <f>IF(((S65*pax_cap*load_mid*ROUND(K65*L65*revleg_mid,0))-(((battery/range_nm)*D65*ROUND(K65*L65*revleg_mid,0)*VLOOKUP(B65,country_opex,3,FALSE))+V65+W65+X65+Y65+Z65))&lt;=0,"",VLOOKUP(B65,country_opex,7,FALSE)/((S65*pax_cap*load_mid*ROUND(K65*L65*revleg_mid,0))-(((battery/range_nm)*D65*ROUND(K65*L65*revleg_mid,0)*VLOOKUP(B65,country_opex,3,FALSE))+V65+W65+X65+Y65+Z65)))</f>
        <v/>
      </c>
      <c r="AV65" s="43">
        <f>IF(((S65*pax_cap*load_full*ROUND(K65*L65*revleg_full,0))-(((battery/range_nm)*D65*ROUND(K65*L65*revleg_full,0)*VLOOKUP(B65,country_opex,3,FALSE))+V65+W65+X65+Y65+Z65))&lt;=0,"",VLOOKUP(B65,country_opex,7,FALSE)/((S65*pax_cap*load_full*ROUND(K65*L65*revleg_full,0))-(((battery/range_nm)*D65*ROUND(K65*L65*revleg_full,0)*VLOOKUP(B65,country_opex,3,FALSE))+V65+W65+X65+Y65+Z65)))</f>
        <v/>
      </c>
      <c r="AW65" s="44" t="n"/>
      <c r="AX65" s="44" t="n"/>
    </row>
    <row r="66">
      <c r="A66" s="29" t="inlineStr">
        <is>
          <t>Bolt Greece</t>
        </is>
      </c>
      <c r="B66" s="29" t="inlineStr">
        <is>
          <t>Greece</t>
        </is>
      </c>
      <c r="C66" s="30" t="inlineStr">
        <is>
          <t>Naxos → Paros</t>
        </is>
      </c>
      <c r="D66" s="31" t="n">
        <v>6</v>
      </c>
      <c r="E66" s="26" t="n">
        <v>33.5</v>
      </c>
      <c r="F66" s="32" t="inlineStr">
        <is>
          <t>T2</t>
        </is>
      </c>
      <c r="G66" s="32" t="inlineStr">
        <is>
          <t>med</t>
        </is>
      </c>
      <c r="H66" s="19" t="n">
        <v>1</v>
      </c>
      <c r="I66" s="33">
        <f>60*D66/cruise_kt</f>
        <v/>
      </c>
      <c r="J66" s="33">
        <f>I66+turn_min+dwell_min</f>
        <v/>
      </c>
      <c r="K66" s="34">
        <f>MIN(10,FLOOR(60*service_hr/J66,1))</f>
        <v/>
      </c>
      <c r="L66" s="34">
        <f>ROUND(365*mech_uptime*H66,0)</f>
        <v/>
      </c>
      <c r="M66" s="35">
        <f>mech_uptime</f>
        <v/>
      </c>
      <c r="N66" s="35">
        <f>revleg_sel</f>
        <v/>
      </c>
      <c r="O66" s="34">
        <f>ROUND(K66*L66*revleg_sel,0)</f>
        <v/>
      </c>
      <c r="P66" s="36">
        <f>load_sel</f>
        <v/>
      </c>
      <c r="Q66" s="36">
        <f>pax_cap*P66</f>
        <v/>
      </c>
      <c r="R66" s="34">
        <f>Q66*O66</f>
        <v/>
      </c>
      <c r="S66" s="37">
        <f>E66*discount</f>
        <v/>
      </c>
      <c r="T66" s="38">
        <f>S66*R66</f>
        <v/>
      </c>
      <c r="U66" s="38">
        <f>(battery/range_nm)*D66*O66*VLOOKUP(B66,country_opex,3,FALSE)</f>
        <v/>
      </c>
      <c r="V66" s="38">
        <f>VLOOKUP(B66,country_opex,2,FALSE)*crew_factor</f>
        <v/>
      </c>
      <c r="W66" s="38">
        <f>VLOOKUP(B66,country_opex,5,FALSE)</f>
        <v/>
      </c>
      <c r="X66" s="38">
        <f>maint</f>
        <v/>
      </c>
      <c r="Y66" s="38">
        <f>VLOOKUP(B66,country_opex,7,FALSE)*ins_pct</f>
        <v/>
      </c>
      <c r="Z66" s="38">
        <f>charge_berth</f>
        <v/>
      </c>
      <c r="AA66" s="38">
        <f>U66+V66+W66+X66+Y66+Z66</f>
        <v/>
      </c>
      <c r="AB66" s="38">
        <f>VLOOKUP(B66,country_opex,7,FALSE)/dep_years</f>
        <v/>
      </c>
      <c r="AC66" s="38">
        <f>T66-AA66</f>
        <v/>
      </c>
      <c r="AD66" s="35">
        <f>IF(T66=0,"",AC66/T66)</f>
        <v/>
      </c>
      <c r="AE66" s="36">
        <f>IF(AC66&lt;=0,"",VLOOKUP(B66,country_opex,7,FALSE)/AC66)</f>
        <v/>
      </c>
      <c r="AF66" s="33">
        <f>((D66*O66/diesel_nmpg)*diesel_co2pg-(battery/range_nm)*D66*O66*VLOOKUP(B66,country_opex,4,FALSE))/1000</f>
        <v/>
      </c>
      <c r="AG66" s="31" t="n"/>
      <c r="AH66" s="32" t="n"/>
      <c r="AI66" s="32" t="n"/>
      <c r="AJ66" s="39" t="n">
        <v>0.1</v>
      </c>
      <c r="AK66" s="34">
        <f>IF(AG66="","",AG66*AJ66)</f>
        <v/>
      </c>
      <c r="AL66" s="34">
        <f>IF(OR(AG66="",R66=0),"",MIN(IF(AS66="",9.9E+99,AS66),FLOOR(AK66/R66,1)))</f>
        <v/>
      </c>
      <c r="AM66" s="38">
        <f>IF(AL66="","",AL66*T66)</f>
        <v/>
      </c>
      <c r="AN66" s="36">
        <f>IF(OR(AG66="",R66=0),"",MIN(IF(AS66="",9.9E+99,AS66),AK66/R66))</f>
        <v/>
      </c>
      <c r="AO66" s="38">
        <f>IF(AN66="","",AN66*T66)</f>
        <v/>
      </c>
      <c r="AP66" s="40" t="n"/>
      <c r="AQ66" s="41" t="n"/>
      <c r="AR66" s="41" t="n"/>
      <c r="AS66" s="42" t="n"/>
      <c r="AT66" s="43">
        <f>IF(((S66*pax_cap*load_thin*ROUND(K66*L66*revleg_thin,0))-(((battery/range_nm)*D66*ROUND(K66*L66*revleg_thin,0)*VLOOKUP(B66,country_opex,3,FALSE))+V66+W66+X66+Y66+Z66))&lt;=0,"",VLOOKUP(B66,country_opex,7,FALSE)/((S66*pax_cap*load_thin*ROUND(K66*L66*revleg_thin,0))-(((battery/range_nm)*D66*ROUND(K66*L66*revleg_thin,0)*VLOOKUP(B66,country_opex,3,FALSE))+V66+W66+X66+Y66+Z66)))</f>
        <v/>
      </c>
      <c r="AU66" s="43">
        <f>IF(((S66*pax_cap*load_mid*ROUND(K66*L66*revleg_mid,0))-(((battery/range_nm)*D66*ROUND(K66*L66*revleg_mid,0)*VLOOKUP(B66,country_opex,3,FALSE))+V66+W66+X66+Y66+Z66))&lt;=0,"",VLOOKUP(B66,country_opex,7,FALSE)/((S66*pax_cap*load_mid*ROUND(K66*L66*revleg_mid,0))-(((battery/range_nm)*D66*ROUND(K66*L66*revleg_mid,0)*VLOOKUP(B66,country_opex,3,FALSE))+V66+W66+X66+Y66+Z66)))</f>
        <v/>
      </c>
      <c r="AV66" s="43">
        <f>IF(((S66*pax_cap*load_full*ROUND(K66*L66*revleg_full,0))-(((battery/range_nm)*D66*ROUND(K66*L66*revleg_full,0)*VLOOKUP(B66,country_opex,3,FALSE))+V66+W66+X66+Y66+Z66))&lt;=0,"",VLOOKUP(B66,country_opex,7,FALSE)/((S66*pax_cap*load_full*ROUND(K66*L66*revleg_full,0))-(((battery/range_nm)*D66*ROUND(K66*L66*revleg_full,0)*VLOOKUP(B66,country_opex,3,FALSE))+V66+W66+X66+Y66+Z66)))</f>
        <v/>
      </c>
      <c r="AW66" s="44" t="inlineStr">
        <is>
          <t>PREMIUM scheduled per-seat = fast-ferry Naxos-&gt;Paros ~EUR 31 one-way (AFerry foot-passenger from GBP 27 ~ EUR 31; ~$33.5). Short hop, so cheaper conventional options exist below.</t>
        </is>
      </c>
      <c r="AX66" s="44" t="n"/>
    </row>
    <row r="67">
      <c r="A67" s="29" t="inlineStr">
        <is>
          <t>Bolt Greece</t>
        </is>
      </c>
      <c r="B67" s="29" t="inlineStr">
        <is>
          <t>Greece</t>
        </is>
      </c>
      <c r="C67" s="30" t="inlineStr">
        <is>
          <t>Athens (Piraeus) → Glyfada (Athens Riviera)</t>
        </is>
      </c>
      <c r="D67" s="31" t="n">
        <v>8</v>
      </c>
      <c r="E67" s="26" t="n"/>
      <c r="F67" s="32" t="n"/>
      <c r="G67" s="32" t="n"/>
      <c r="H67" s="19" t="n">
        <v>1</v>
      </c>
      <c r="I67" s="33">
        <f>60*D67/cruise_kt</f>
        <v/>
      </c>
      <c r="J67" s="33">
        <f>I67+turn_min+dwell_min</f>
        <v/>
      </c>
      <c r="K67" s="34">
        <f>MIN(16,FLOOR(60*service_hr/J67,1))</f>
        <v/>
      </c>
      <c r="L67" s="34">
        <f>ROUND(365*mech_uptime*H67,0)</f>
        <v/>
      </c>
      <c r="M67" s="35">
        <f>mech_uptime</f>
        <v/>
      </c>
      <c r="N67" s="35">
        <f>revleg_sel</f>
        <v/>
      </c>
      <c r="O67" s="34">
        <f>ROUND(K67*L67*revleg_sel,0)</f>
        <v/>
      </c>
      <c r="P67" s="36">
        <f>load_sel</f>
        <v/>
      </c>
      <c r="Q67" s="36">
        <f>pax_cap*P67</f>
        <v/>
      </c>
      <c r="R67" s="34">
        <f>Q67*O67</f>
        <v/>
      </c>
      <c r="S67" s="37">
        <f>E67*discount</f>
        <v/>
      </c>
      <c r="T67" s="38">
        <f>S67*R67</f>
        <v/>
      </c>
      <c r="U67" s="38">
        <f>(battery/range_nm)*D67*O67*VLOOKUP(B67,country_opex,3,FALSE)</f>
        <v/>
      </c>
      <c r="V67" s="38">
        <f>VLOOKUP(B67,country_opex,2,FALSE)*crew_factor</f>
        <v/>
      </c>
      <c r="W67" s="38">
        <f>VLOOKUP(B67,country_opex,5,FALSE)</f>
        <v/>
      </c>
      <c r="X67" s="38">
        <f>maint</f>
        <v/>
      </c>
      <c r="Y67" s="38">
        <f>VLOOKUP(B67,country_opex,7,FALSE)*ins_pct</f>
        <v/>
      </c>
      <c r="Z67" s="38">
        <f>charge_berth</f>
        <v/>
      </c>
      <c r="AA67" s="38">
        <f>U67+V67+W67+X67+Y67+Z67</f>
        <v/>
      </c>
      <c r="AB67" s="38">
        <f>VLOOKUP(B67,country_opex,7,FALSE)/dep_years</f>
        <v/>
      </c>
      <c r="AC67" s="38">
        <f>T67-AA67</f>
        <v/>
      </c>
      <c r="AD67" s="35">
        <f>IF(T67=0,"",AC67/T67)</f>
        <v/>
      </c>
      <c r="AE67" s="36">
        <f>IF(AC67&lt;=0,"",VLOOKUP(B67,country_opex,7,FALSE)/AC67)</f>
        <v/>
      </c>
      <c r="AF67" s="33">
        <f>((D67*O67/diesel_nmpg)*diesel_co2pg-(battery/range_nm)*D67*O67*VLOOKUP(B67,country_opex,4,FALSE))/1000</f>
        <v/>
      </c>
      <c r="AG67" s="31" t="n">
        <v>949000</v>
      </c>
      <c r="AH67" s="32" t="n"/>
      <c r="AI67" s="32" t="n"/>
      <c r="AJ67" s="39" t="n">
        <v>0.1</v>
      </c>
      <c r="AK67" s="34">
        <f>IF(AG67="","",AG67*AJ67)</f>
        <v/>
      </c>
      <c r="AL67" s="34">
        <f>IF(OR(AG67="",R67=0),"",MIN(IF(AS67="",9.9E+99,AS67),FLOOR(AK67/R67,1)))</f>
        <v/>
      </c>
      <c r="AM67" s="38">
        <f>IF(AL67="","",AL67*T67)</f>
        <v/>
      </c>
      <c r="AN67" s="36">
        <f>IF(OR(AG67="",R67=0),"",MIN(IF(AS67="",9.9E+99,AS67),AK67/R67))</f>
        <v/>
      </c>
      <c r="AO67" s="38">
        <f>IF(AN67="","",AN67*T67)</f>
        <v/>
      </c>
      <c r="AP67" s="40" t="n"/>
      <c r="AQ67" s="41" t="n"/>
      <c r="AR67" s="41" t="n"/>
      <c r="AS67" s="42" t="n"/>
      <c r="AT67" s="43">
        <f>IF(((S67*pax_cap*load_thin*ROUND(K67*L67*revleg_thin,0))-(((battery/range_nm)*D67*ROUND(K67*L67*revleg_thin,0)*VLOOKUP(B67,country_opex,3,FALSE))+V67+W67+X67+Y67+Z67))&lt;=0,"",VLOOKUP(B67,country_opex,7,FALSE)/((S67*pax_cap*load_thin*ROUND(K67*L67*revleg_thin,0))-(((battery/range_nm)*D67*ROUND(K67*L67*revleg_thin,0)*VLOOKUP(B67,country_opex,3,FALSE))+V67+W67+X67+Y67+Z67)))</f>
        <v/>
      </c>
      <c r="AU67" s="43">
        <f>IF(((S67*pax_cap*load_mid*ROUND(K67*L67*revleg_mid,0))-(((battery/range_nm)*D67*ROUND(K67*L67*revleg_mid,0)*VLOOKUP(B67,country_opex,3,FALSE))+V67+W67+X67+Y67+Z67))&lt;=0,"",VLOOKUP(B67,country_opex,7,FALSE)/((S67*pax_cap*load_mid*ROUND(K67*L67*revleg_mid,0))-(((battery/range_nm)*D67*ROUND(K67*L67*revleg_mid,0)*VLOOKUP(B67,country_opex,3,FALSE))+V67+W67+X67+Y67+Z67)))</f>
        <v/>
      </c>
      <c r="AV67" s="43">
        <f>IF(((S67*pax_cap*load_full*ROUND(K67*L67*revleg_full,0))-(((battery/range_nm)*D67*ROUND(K67*L67*revleg_full,0)*VLOOKUP(B67,country_opex,3,FALSE))+V67+W67+X67+Y67+Z67))&lt;=0,"",VLOOKUP(B67,country_opex,7,FALSE)/((S67*pax_cap*load_full*ROUND(K67*L67*revleg_full,0))-(((battery/range_nm)*D67*ROUND(K67*L67*revleg_full,0)*VLOOKUP(B67,country_opex,3,FALSE))+V67+W67+X67+Y67+Z67)))</f>
        <v/>
      </c>
      <c r="AW67" s="44" t="n"/>
      <c r="AX67" s="44" t="n"/>
    </row>
    <row r="68">
      <c r="A68" s="29" t="inlineStr">
        <is>
          <t>Bolt Greece</t>
        </is>
      </c>
      <c r="B68" s="29" t="inlineStr">
        <is>
          <t>Greece</t>
        </is>
      </c>
      <c r="C68" s="30" t="inlineStr">
        <is>
          <t>Athens (Piraeus) → Aegina</t>
        </is>
      </c>
      <c r="D68" s="31" t="n">
        <v>17</v>
      </c>
      <c r="E68" s="26" t="n">
        <v>14</v>
      </c>
      <c r="F68" s="32" t="inlineStr">
        <is>
          <t>T2</t>
        </is>
      </c>
      <c r="G68" s="32" t="inlineStr">
        <is>
          <t>med</t>
        </is>
      </c>
      <c r="H68" s="19" t="n">
        <v>1</v>
      </c>
      <c r="I68" s="33">
        <f>60*D68/cruise_kt</f>
        <v/>
      </c>
      <c r="J68" s="33">
        <f>I68+turn_min+dwell_min</f>
        <v/>
      </c>
      <c r="K68" s="34">
        <f>MIN(10,FLOOR(60*service_hr/J68,1))</f>
        <v/>
      </c>
      <c r="L68" s="34">
        <f>ROUND(365*mech_uptime*H68,0)</f>
        <v/>
      </c>
      <c r="M68" s="35">
        <f>mech_uptime</f>
        <v/>
      </c>
      <c r="N68" s="35">
        <f>revleg_sel</f>
        <v/>
      </c>
      <c r="O68" s="34">
        <f>ROUND(K68*L68*revleg_sel,0)</f>
        <v/>
      </c>
      <c r="P68" s="36">
        <f>load_sel</f>
        <v/>
      </c>
      <c r="Q68" s="36">
        <f>pax_cap*P68</f>
        <v/>
      </c>
      <c r="R68" s="34">
        <f>Q68*O68</f>
        <v/>
      </c>
      <c r="S68" s="37">
        <f>E68*discount</f>
        <v/>
      </c>
      <c r="T68" s="38">
        <f>S68*R68</f>
        <v/>
      </c>
      <c r="U68" s="38">
        <f>(battery/range_nm)*D68*O68*VLOOKUP(B68,country_opex,3,FALSE)</f>
        <v/>
      </c>
      <c r="V68" s="38">
        <f>VLOOKUP(B68,country_opex,2,FALSE)*crew_factor</f>
        <v/>
      </c>
      <c r="W68" s="38">
        <f>VLOOKUP(B68,country_opex,5,FALSE)</f>
        <v/>
      </c>
      <c r="X68" s="38">
        <f>maint</f>
        <v/>
      </c>
      <c r="Y68" s="38">
        <f>VLOOKUP(B68,country_opex,7,FALSE)*ins_pct</f>
        <v/>
      </c>
      <c r="Z68" s="38">
        <f>charge_berth</f>
        <v/>
      </c>
      <c r="AA68" s="38">
        <f>U68+V68+W68+X68+Y68+Z68</f>
        <v/>
      </c>
      <c r="AB68" s="38">
        <f>VLOOKUP(B68,country_opex,7,FALSE)/dep_years</f>
        <v/>
      </c>
      <c r="AC68" s="38">
        <f>T68-AA68</f>
        <v/>
      </c>
      <c r="AD68" s="35">
        <f>IF(T68=0,"",AC68/T68)</f>
        <v/>
      </c>
      <c r="AE68" s="36">
        <f>IF(AC68&lt;=0,"",VLOOKUP(B68,country_opex,7,FALSE)/AC68)</f>
        <v/>
      </c>
      <c r="AF68" s="33">
        <f>((D68*O68/diesel_nmpg)*diesel_co2pg-(battery/range_nm)*D68*O68*VLOOKUP(B68,country_opex,4,FALSE))/1000</f>
        <v/>
      </c>
      <c r="AG68" s="31" t="n">
        <v>1000000</v>
      </c>
      <c r="AH68" s="32" t="n"/>
      <c r="AI68" s="32" t="n"/>
      <c r="AJ68" s="39" t="n">
        <v>0.1</v>
      </c>
      <c r="AK68" s="34">
        <f>IF(AG68="","",AG68*AJ68)</f>
        <v/>
      </c>
      <c r="AL68" s="34">
        <f>IF(OR(AG68="",R68=0),"",MIN(IF(AS68="",9.9E+99,AS68),FLOOR(AK68/R68,1)))</f>
        <v/>
      </c>
      <c r="AM68" s="38">
        <f>IF(AL68="","",AL68*T68)</f>
        <v/>
      </c>
      <c r="AN68" s="36">
        <f>IF(OR(AG68="",R68=0),"",MIN(IF(AS68="",9.9E+99,AS68),AK68/R68))</f>
        <v/>
      </c>
      <c r="AO68" s="38">
        <f>IF(AN68="","",AN68*T68)</f>
        <v/>
      </c>
      <c r="AP68" s="40" t="n"/>
      <c r="AQ68" s="41" t="n"/>
      <c r="AR68" s="41" t="n"/>
      <c r="AS68" s="42" t="n"/>
      <c r="AT68" s="43">
        <f>IF(((S68*pax_cap*load_thin*ROUND(K68*L68*revleg_thin,0))-(((battery/range_nm)*D68*ROUND(K68*L68*revleg_thin,0)*VLOOKUP(B68,country_opex,3,FALSE))+V68+W68+X68+Y68+Z68))&lt;=0,"",VLOOKUP(B68,country_opex,7,FALSE)/((S68*pax_cap*load_thin*ROUND(K68*L68*revleg_thin,0))-(((battery/range_nm)*D68*ROUND(K68*L68*revleg_thin,0)*VLOOKUP(B68,country_opex,3,FALSE))+V68+W68+X68+Y68+Z68)))</f>
        <v/>
      </c>
      <c r="AU68" s="43">
        <f>IF(((S68*pax_cap*load_mid*ROUND(K68*L68*revleg_mid,0))-(((battery/range_nm)*D68*ROUND(K68*L68*revleg_mid,0)*VLOOKUP(B68,country_opex,3,FALSE))+V68+W68+X68+Y68+Z68))&lt;=0,"",VLOOKUP(B68,country_opex,7,FALSE)/((S68*pax_cap*load_mid*ROUND(K68*L68*revleg_mid,0))-(((battery/range_nm)*D68*ROUND(K68*L68*revleg_mid,0)*VLOOKUP(B68,country_opex,3,FALSE))+V68+W68+X68+Y68+Z68)))</f>
        <v/>
      </c>
      <c r="AV68" s="43">
        <f>IF(((S68*pax_cap*load_full*ROUND(K68*L68*revleg_full,0))-(((battery/range_nm)*D68*ROUND(K68*L68*revleg_full,0)*VLOOKUP(B68,country_opex,3,FALSE))+V68+W68+X68+Y68+Z68))&lt;=0,"",VLOOKUP(B68,country_opex,7,FALSE)/((S68*pax_cap*load_full*ROUND(K68*L68*revleg_full,0))-(((battery/range_nm)*D68*ROUND(K68*L68*revleg_full,0)*VLOOKUP(B68,country_opex,3,FALSE))+V68+W68+X68+Y68+Z68)))</f>
        <v/>
      </c>
      <c r="AW68" s="44" t="inlineStr">
        <is>
          <t>PREMIUM scheduled per-seat = Aegean Flying Dolphins hydrofoil Piraeus-&gt;Aegina EUR 13.00 one-way (2026, ~$14.0). Faster Hellenic Seaways high-speed cat runs ~EUR 18 on the same route. (Slow Saronic Ferries conventional ferry is the cheaper floor below.)</t>
        </is>
      </c>
      <c r="AX68" s="44" t="n"/>
    </row>
    <row r="69">
      <c r="A69" s="29" t="inlineStr">
        <is>
          <t>Bolt Greece</t>
        </is>
      </c>
      <c r="B69" s="29" t="inlineStr">
        <is>
          <t>Greece</t>
        </is>
      </c>
      <c r="C69" s="30" t="inlineStr">
        <is>
          <t>Santorini (Thira) → Ios</t>
        </is>
      </c>
      <c r="D69" s="31" t="n">
        <v>17</v>
      </c>
      <c r="E69" s="26" t="n">
        <v>54</v>
      </c>
      <c r="F69" s="32" t="inlineStr">
        <is>
          <t>T2</t>
        </is>
      </c>
      <c r="G69" s="32" t="inlineStr">
        <is>
          <t>med</t>
        </is>
      </c>
      <c r="H69" s="19" t="n">
        <v>1</v>
      </c>
      <c r="I69" s="33">
        <f>60*D69/cruise_kt</f>
        <v/>
      </c>
      <c r="J69" s="33">
        <f>I69+turn_min+dwell_min</f>
        <v/>
      </c>
      <c r="K69" s="34">
        <f>MIN(10,FLOOR(60*service_hr/J69,1))</f>
        <v/>
      </c>
      <c r="L69" s="34">
        <f>ROUND(365*mech_uptime*H69,0)</f>
        <v/>
      </c>
      <c r="M69" s="35">
        <f>mech_uptime</f>
        <v/>
      </c>
      <c r="N69" s="35">
        <f>revleg_sel</f>
        <v/>
      </c>
      <c r="O69" s="34">
        <f>ROUND(K69*L69*revleg_sel,0)</f>
        <v/>
      </c>
      <c r="P69" s="36">
        <f>load_sel</f>
        <v/>
      </c>
      <c r="Q69" s="36">
        <f>pax_cap*P69</f>
        <v/>
      </c>
      <c r="R69" s="34">
        <f>Q69*O69</f>
        <v/>
      </c>
      <c r="S69" s="37">
        <f>E69*discount</f>
        <v/>
      </c>
      <c r="T69" s="38">
        <f>S69*R69</f>
        <v/>
      </c>
      <c r="U69" s="38">
        <f>(battery/range_nm)*D69*O69*VLOOKUP(B69,country_opex,3,FALSE)</f>
        <v/>
      </c>
      <c r="V69" s="38">
        <f>VLOOKUP(B69,country_opex,2,FALSE)*crew_factor</f>
        <v/>
      </c>
      <c r="W69" s="38">
        <f>VLOOKUP(B69,country_opex,5,FALSE)</f>
        <v/>
      </c>
      <c r="X69" s="38">
        <f>maint</f>
        <v/>
      </c>
      <c r="Y69" s="38">
        <f>VLOOKUP(B69,country_opex,7,FALSE)*ins_pct</f>
        <v/>
      </c>
      <c r="Z69" s="38">
        <f>charge_berth</f>
        <v/>
      </c>
      <c r="AA69" s="38">
        <f>U69+V69+W69+X69+Y69+Z69</f>
        <v/>
      </c>
      <c r="AB69" s="38">
        <f>VLOOKUP(B69,country_opex,7,FALSE)/dep_years</f>
        <v/>
      </c>
      <c r="AC69" s="38">
        <f>T69-AA69</f>
        <v/>
      </c>
      <c r="AD69" s="35">
        <f>IF(T69=0,"",AC69/T69)</f>
        <v/>
      </c>
      <c r="AE69" s="36">
        <f>IF(AC69&lt;=0,"",VLOOKUP(B69,country_opex,7,FALSE)/AC69)</f>
        <v/>
      </c>
      <c r="AF69" s="33">
        <f>((D69*O69/diesel_nmpg)*diesel_co2pg-(battery/range_nm)*D69*O69*VLOOKUP(B69,country_opex,4,FALSE))/1000</f>
        <v/>
      </c>
      <c r="AG69" s="31" t="n"/>
      <c r="AH69" s="32" t="n"/>
      <c r="AI69" s="32" t="n"/>
      <c r="AJ69" s="39" t="n">
        <v>0.1</v>
      </c>
      <c r="AK69" s="34">
        <f>IF(AG69="","",AG69*AJ69)</f>
        <v/>
      </c>
      <c r="AL69" s="34">
        <f>IF(OR(AG69="",R69=0),"",MIN(IF(AS69="",9.9E+99,AS69),FLOOR(AK69/R69,1)))</f>
        <v/>
      </c>
      <c r="AM69" s="38">
        <f>IF(AL69="","",AL69*T69)</f>
        <v/>
      </c>
      <c r="AN69" s="36">
        <f>IF(OR(AG69="",R69=0),"",MIN(IF(AS69="",9.9E+99,AS69),AK69/R69))</f>
        <v/>
      </c>
      <c r="AO69" s="38">
        <f>IF(AN69="","",AN69*T69)</f>
        <v/>
      </c>
      <c r="AP69" s="40" t="n"/>
      <c r="AQ69" s="41" t="n"/>
      <c r="AR69" s="41" t="n"/>
      <c r="AS69" s="42" t="n"/>
      <c r="AT69" s="43">
        <f>IF(((S69*pax_cap*load_thin*ROUND(K69*L69*revleg_thin,0))-(((battery/range_nm)*D69*ROUND(K69*L69*revleg_thin,0)*VLOOKUP(B69,country_opex,3,FALSE))+V69+W69+X69+Y69+Z69))&lt;=0,"",VLOOKUP(B69,country_opex,7,FALSE)/((S69*pax_cap*load_thin*ROUND(K69*L69*revleg_thin,0))-(((battery/range_nm)*D69*ROUND(K69*L69*revleg_thin,0)*VLOOKUP(B69,country_opex,3,FALSE))+V69+W69+X69+Y69+Z69)))</f>
        <v/>
      </c>
      <c r="AU69" s="43">
        <f>IF(((S69*pax_cap*load_mid*ROUND(K69*L69*revleg_mid,0))-(((battery/range_nm)*D69*ROUND(K69*L69*revleg_mid,0)*VLOOKUP(B69,country_opex,3,FALSE))+V69+W69+X69+Y69+Z69))&lt;=0,"",VLOOKUP(B69,country_opex,7,FALSE)/((S69*pax_cap*load_mid*ROUND(K69*L69*revleg_mid,0))-(((battery/range_nm)*D69*ROUND(K69*L69*revleg_mid,0)*VLOOKUP(B69,country_opex,3,FALSE))+V69+W69+X69+Y69+Z69)))</f>
        <v/>
      </c>
      <c r="AV69" s="43">
        <f>IF(((S69*pax_cap*load_full*ROUND(K69*L69*revleg_full,0))-(((battery/range_nm)*D69*ROUND(K69*L69*revleg_full,0)*VLOOKUP(B69,country_opex,3,FALSE))+V69+W69+X69+Y69+Z69))&lt;=0,"",VLOOKUP(B69,country_opex,7,FALSE)/((S69*pax_cap*load_full*ROUND(K69*L69*revleg_full,0))-(((battery/range_nm)*D69*ROUND(K69*L69*revleg_full,0)*VLOOKUP(B69,country_opex,3,FALSE))+V69+W69+X69+Y69+Z69)))</f>
        <v/>
      </c>
      <c r="AW69" s="44" t="inlineStr">
        <is>
          <t>PREMIUM scheduled per-seat = fast-ferry Santorini-&gt;Ios ~EUR 50 one-way (range to EUR 69.7; ~$54). Up to 7 daily crossings year-round.</t>
        </is>
      </c>
      <c r="AX69" s="44" t="n"/>
    </row>
    <row r="70">
      <c r="A70" s="29" t="inlineStr">
        <is>
          <t>Bolt Greece</t>
        </is>
      </c>
      <c r="B70" s="29" t="inlineStr">
        <is>
          <t>Greece</t>
        </is>
      </c>
      <c r="C70" s="30" t="inlineStr">
        <is>
          <t>Athens (Piraeus) → Agistri (Saronic)</t>
        </is>
      </c>
      <c r="D70" s="31" t="n">
        <v>18</v>
      </c>
      <c r="E70" s="26" t="n">
        <v>14.6</v>
      </c>
      <c r="F70" s="32" t="inlineStr">
        <is>
          <t>T2</t>
        </is>
      </c>
      <c r="G70" s="32" t="inlineStr">
        <is>
          <t>med</t>
        </is>
      </c>
      <c r="H70" s="19" t="n">
        <v>1</v>
      </c>
      <c r="I70" s="33">
        <f>60*D70/cruise_kt</f>
        <v/>
      </c>
      <c r="J70" s="33">
        <f>I70+turn_min+dwell_min</f>
        <v/>
      </c>
      <c r="K70" s="34">
        <f>MIN(10,FLOOR(60*service_hr/J70,1))</f>
        <v/>
      </c>
      <c r="L70" s="34">
        <f>ROUND(365*mech_uptime*H70,0)</f>
        <v/>
      </c>
      <c r="M70" s="35">
        <f>mech_uptime</f>
        <v/>
      </c>
      <c r="N70" s="35">
        <f>revleg_sel</f>
        <v/>
      </c>
      <c r="O70" s="34">
        <f>ROUND(K70*L70*revleg_sel,0)</f>
        <v/>
      </c>
      <c r="P70" s="36">
        <f>load_sel</f>
        <v/>
      </c>
      <c r="Q70" s="36">
        <f>pax_cap*P70</f>
        <v/>
      </c>
      <c r="R70" s="34">
        <f>Q70*O70</f>
        <v/>
      </c>
      <c r="S70" s="37">
        <f>E70*discount</f>
        <v/>
      </c>
      <c r="T70" s="38">
        <f>S70*R70</f>
        <v/>
      </c>
      <c r="U70" s="38">
        <f>(battery/range_nm)*D70*O70*VLOOKUP(B70,country_opex,3,FALSE)</f>
        <v/>
      </c>
      <c r="V70" s="38">
        <f>VLOOKUP(B70,country_opex,2,FALSE)*crew_factor</f>
        <v/>
      </c>
      <c r="W70" s="38">
        <f>VLOOKUP(B70,country_opex,5,FALSE)</f>
        <v/>
      </c>
      <c r="X70" s="38">
        <f>maint</f>
        <v/>
      </c>
      <c r="Y70" s="38">
        <f>VLOOKUP(B70,country_opex,7,FALSE)*ins_pct</f>
        <v/>
      </c>
      <c r="Z70" s="38">
        <f>charge_berth</f>
        <v/>
      </c>
      <c r="AA70" s="38">
        <f>U70+V70+W70+X70+Y70+Z70</f>
        <v/>
      </c>
      <c r="AB70" s="38">
        <f>VLOOKUP(B70,country_opex,7,FALSE)/dep_years</f>
        <v/>
      </c>
      <c r="AC70" s="38">
        <f>T70-AA70</f>
        <v/>
      </c>
      <c r="AD70" s="35">
        <f>IF(T70=0,"",AC70/T70)</f>
        <v/>
      </c>
      <c r="AE70" s="36">
        <f>IF(AC70&lt;=0,"",VLOOKUP(B70,country_opex,7,FALSE)/AC70)</f>
        <v/>
      </c>
      <c r="AF70" s="33">
        <f>((D70*O70/diesel_nmpg)*diesel_co2pg-(battery/range_nm)*D70*O70*VLOOKUP(B70,country_opex,4,FALSE))/1000</f>
        <v/>
      </c>
      <c r="AG70" s="31" t="n"/>
      <c r="AH70" s="32" t="n"/>
      <c r="AI70" s="32" t="n"/>
      <c r="AJ70" s="39" t="n">
        <v>0.1</v>
      </c>
      <c r="AK70" s="34">
        <f>IF(AG70="","",AG70*AJ70)</f>
        <v/>
      </c>
      <c r="AL70" s="34">
        <f>IF(OR(AG70="",R70=0),"",MIN(IF(AS70="",9.9E+99,AS70),FLOOR(AK70/R70,1)))</f>
        <v/>
      </c>
      <c r="AM70" s="38">
        <f>IF(AL70="","",AL70*T70)</f>
        <v/>
      </c>
      <c r="AN70" s="36">
        <f>IF(OR(AG70="",R70=0),"",MIN(IF(AS70="",9.9E+99,AS70),AK70/R70))</f>
        <v/>
      </c>
      <c r="AO70" s="38">
        <f>IF(AN70="","",AN70*T70)</f>
        <v/>
      </c>
      <c r="AP70" s="40" t="n"/>
      <c r="AQ70" s="41" t="n"/>
      <c r="AR70" s="41" t="n"/>
      <c r="AS70" s="42" t="n"/>
      <c r="AT70" s="43">
        <f>IF(((S70*pax_cap*load_thin*ROUND(K70*L70*revleg_thin,0))-(((battery/range_nm)*D70*ROUND(K70*L70*revleg_thin,0)*VLOOKUP(B70,country_opex,3,FALSE))+V70+W70+X70+Y70+Z70))&lt;=0,"",VLOOKUP(B70,country_opex,7,FALSE)/((S70*pax_cap*load_thin*ROUND(K70*L70*revleg_thin,0))-(((battery/range_nm)*D70*ROUND(K70*L70*revleg_thin,0)*VLOOKUP(B70,country_opex,3,FALSE))+V70+W70+X70+Y70+Z70)))</f>
        <v/>
      </c>
      <c r="AU70" s="43">
        <f>IF(((S70*pax_cap*load_mid*ROUND(K70*L70*revleg_mid,0))-(((battery/range_nm)*D70*ROUND(K70*L70*revleg_mid,0)*VLOOKUP(B70,country_opex,3,FALSE))+V70+W70+X70+Y70+Z70))&lt;=0,"",VLOOKUP(B70,country_opex,7,FALSE)/((S70*pax_cap*load_mid*ROUND(K70*L70*revleg_mid,0))-(((battery/range_nm)*D70*ROUND(K70*L70*revleg_mid,0)*VLOOKUP(B70,country_opex,3,FALSE))+V70+W70+X70+Y70+Z70)))</f>
        <v/>
      </c>
      <c r="AV70" s="43">
        <f>IF(((S70*pax_cap*load_full*ROUND(K70*L70*revleg_full,0))-(((battery/range_nm)*D70*ROUND(K70*L70*revleg_full,0)*VLOOKUP(B70,country_opex,3,FALSE))+V70+W70+X70+Y70+Z70))&lt;=0,"",VLOOKUP(B70,country_opex,7,FALSE)/((S70*pax_cap*load_full*ROUND(K70*L70*revleg_full,0))-(((battery/range_nm)*D70*ROUND(K70*L70*revleg_full,0)*VLOOKUP(B70,country_opex,3,FALSE))+V70+W70+X70+Y70+Z70)))</f>
        <v/>
      </c>
      <c r="AW70" s="44" t="inlineStr">
        <is>
          <t>PREMIUM scheduled per-seat = Aegean Flying Dolphins Piraeus-&gt;Agistri (Myli) EUR 13.50 one-way (2026, ~$14.6).</t>
        </is>
      </c>
      <c r="AX70" s="44" t="n"/>
    </row>
    <row r="71">
      <c r="A71" s="29" t="inlineStr">
        <is>
          <t>Bolt Greece</t>
        </is>
      </c>
      <c r="B71" s="29" t="inlineStr">
        <is>
          <t>Greece</t>
        </is>
      </c>
      <c r="C71" s="30" t="inlineStr">
        <is>
          <t>Mykonos → Paros</t>
        </is>
      </c>
      <c r="D71" s="31" t="n">
        <v>22</v>
      </c>
      <c r="E71" s="26" t="n">
        <v>54</v>
      </c>
      <c r="F71" s="32" t="inlineStr">
        <is>
          <t>T2</t>
        </is>
      </c>
      <c r="G71" s="32" t="inlineStr">
        <is>
          <t>med</t>
        </is>
      </c>
      <c r="H71" s="19" t="n">
        <v>1</v>
      </c>
      <c r="I71" s="33">
        <f>60*D71/cruise_kt</f>
        <v/>
      </c>
      <c r="J71" s="33">
        <f>I71+turn_min+dwell_min</f>
        <v/>
      </c>
      <c r="K71" s="34">
        <f>MIN(10,FLOOR(60*service_hr/J71,1))</f>
        <v/>
      </c>
      <c r="L71" s="34">
        <f>ROUND(365*mech_uptime*H71,0)</f>
        <v/>
      </c>
      <c r="M71" s="35">
        <f>mech_uptime</f>
        <v/>
      </c>
      <c r="N71" s="35">
        <f>revleg_sel</f>
        <v/>
      </c>
      <c r="O71" s="34">
        <f>ROUND(K71*L71*revleg_sel,0)</f>
        <v/>
      </c>
      <c r="P71" s="36">
        <f>load_sel</f>
        <v/>
      </c>
      <c r="Q71" s="36">
        <f>pax_cap*P71</f>
        <v/>
      </c>
      <c r="R71" s="34">
        <f>Q71*O71</f>
        <v/>
      </c>
      <c r="S71" s="37">
        <f>E71*discount</f>
        <v/>
      </c>
      <c r="T71" s="38">
        <f>S71*R71</f>
        <v/>
      </c>
      <c r="U71" s="38">
        <f>(battery/range_nm)*D71*O71*VLOOKUP(B71,country_opex,3,FALSE)</f>
        <v/>
      </c>
      <c r="V71" s="38">
        <f>VLOOKUP(B71,country_opex,2,FALSE)*crew_factor</f>
        <v/>
      </c>
      <c r="W71" s="38">
        <f>VLOOKUP(B71,country_opex,5,FALSE)</f>
        <v/>
      </c>
      <c r="X71" s="38">
        <f>maint</f>
        <v/>
      </c>
      <c r="Y71" s="38">
        <f>VLOOKUP(B71,country_opex,7,FALSE)*ins_pct</f>
        <v/>
      </c>
      <c r="Z71" s="38">
        <f>charge_berth</f>
        <v/>
      </c>
      <c r="AA71" s="38">
        <f>U71+V71+W71+X71+Y71+Z71</f>
        <v/>
      </c>
      <c r="AB71" s="38">
        <f>VLOOKUP(B71,country_opex,7,FALSE)/dep_years</f>
        <v/>
      </c>
      <c r="AC71" s="38">
        <f>T71-AA71</f>
        <v/>
      </c>
      <c r="AD71" s="35">
        <f>IF(T71=0,"",AC71/T71)</f>
        <v/>
      </c>
      <c r="AE71" s="36">
        <f>IF(AC71&lt;=0,"",VLOOKUP(B71,country_opex,7,FALSE)/AC71)</f>
        <v/>
      </c>
      <c r="AF71" s="33">
        <f>((D71*O71/diesel_nmpg)*diesel_co2pg-(battery/range_nm)*D71*O71*VLOOKUP(B71,country_opex,4,FALSE))/1000</f>
        <v/>
      </c>
      <c r="AG71" s="31" t="n"/>
      <c r="AH71" s="32" t="n"/>
      <c r="AI71" s="32" t="n"/>
      <c r="AJ71" s="39" t="n">
        <v>0.1</v>
      </c>
      <c r="AK71" s="34">
        <f>IF(AG71="","",AG71*AJ71)</f>
        <v/>
      </c>
      <c r="AL71" s="34">
        <f>IF(OR(AG71="",R71=0),"",MIN(IF(AS71="",9.9E+99,AS71),FLOOR(AK71/R71,1)))</f>
        <v/>
      </c>
      <c r="AM71" s="38">
        <f>IF(AL71="","",AL71*T71)</f>
        <v/>
      </c>
      <c r="AN71" s="36">
        <f>IF(OR(AG71="",R71=0),"",MIN(IF(AS71="",9.9E+99,AS71),AK71/R71))</f>
        <v/>
      </c>
      <c r="AO71" s="38">
        <f>IF(AN71="","",AN71*T71)</f>
        <v/>
      </c>
      <c r="AP71" s="40" t="n"/>
      <c r="AQ71" s="41" t="n"/>
      <c r="AR71" s="41" t="n"/>
      <c r="AS71" s="42" t="n"/>
      <c r="AT71" s="43">
        <f>IF(((S71*pax_cap*load_thin*ROUND(K71*L71*revleg_thin,0))-(((battery/range_nm)*D71*ROUND(K71*L71*revleg_thin,0)*VLOOKUP(B71,country_opex,3,FALSE))+V71+W71+X71+Y71+Z71))&lt;=0,"",VLOOKUP(B71,country_opex,7,FALSE)/((S71*pax_cap*load_thin*ROUND(K71*L71*revleg_thin,0))-(((battery/range_nm)*D71*ROUND(K71*L71*revleg_thin,0)*VLOOKUP(B71,country_opex,3,FALSE))+V71+W71+X71+Y71+Z71)))</f>
        <v/>
      </c>
      <c r="AU71" s="43">
        <f>IF(((S71*pax_cap*load_mid*ROUND(K71*L71*revleg_mid,0))-(((battery/range_nm)*D71*ROUND(K71*L71*revleg_mid,0)*VLOOKUP(B71,country_opex,3,FALSE))+V71+W71+X71+Y71+Z71))&lt;=0,"",VLOOKUP(B71,country_opex,7,FALSE)/((S71*pax_cap*load_mid*ROUND(K71*L71*revleg_mid,0))-(((battery/range_nm)*D71*ROUND(K71*L71*revleg_mid,0)*VLOOKUP(B71,country_opex,3,FALSE))+V71+W71+X71+Y71+Z71)))</f>
        <v/>
      </c>
      <c r="AV71" s="43">
        <f>IF(((S71*pax_cap*load_full*ROUND(K71*L71*revleg_full,0))-(((battery/range_nm)*D71*ROUND(K71*L71*revleg_full,0)*VLOOKUP(B71,country_opex,3,FALSE))+V71+W71+X71+Y71+Z71))&lt;=0,"",VLOOKUP(B71,country_opex,7,FALSE)/((S71*pax_cap*load_full*ROUND(K71*L71*revleg_full,0))-(((battery/range_nm)*D71*ROUND(K71*L71*revleg_full,0)*VLOOKUP(B71,country_opex,3,FALSE))+V71+W71+X71+Y71+Z71)))</f>
        <v/>
      </c>
      <c r="AW71" s="44" t="inlineStr">
        <is>
          <t>PREMIUM scheduled per-seat = Seajets/fast-ferry Mykonos-&gt;Paros ~EUR 50 one-way (range EUR 36-66; ~$54).</t>
        </is>
      </c>
      <c r="AX71" s="44" t="n"/>
    </row>
    <row r="72">
      <c r="A72" s="29" t="inlineStr">
        <is>
          <t>Bolt Greece</t>
        </is>
      </c>
      <c r="B72" s="29" t="inlineStr">
        <is>
          <t>Greece</t>
        </is>
      </c>
      <c r="C72" s="30" t="inlineStr">
        <is>
          <t>Rhodes → Marmaris (Turkey)</t>
        </is>
      </c>
      <c r="D72" s="31" t="n">
        <v>22</v>
      </c>
      <c r="E72" s="26" t="n"/>
      <c r="F72" s="32" t="n"/>
      <c r="G72" s="32" t="n"/>
      <c r="H72" s="19" t="n">
        <v>1</v>
      </c>
      <c r="I72" s="33">
        <f>60*D72/cruise_kt</f>
        <v/>
      </c>
      <c r="J72" s="33">
        <f>I72+turn_min+dwell_min</f>
        <v/>
      </c>
      <c r="K72" s="34">
        <f>MIN(10,FLOOR(60*service_hr/J72,1))</f>
        <v/>
      </c>
      <c r="L72" s="34">
        <f>ROUND(365*mech_uptime*H72,0)</f>
        <v/>
      </c>
      <c r="M72" s="35">
        <f>mech_uptime</f>
        <v/>
      </c>
      <c r="N72" s="35">
        <f>revleg_sel</f>
        <v/>
      </c>
      <c r="O72" s="34">
        <f>ROUND(K72*L72*revleg_sel,0)</f>
        <v/>
      </c>
      <c r="P72" s="36">
        <f>load_sel</f>
        <v/>
      </c>
      <c r="Q72" s="36">
        <f>pax_cap*P72</f>
        <v/>
      </c>
      <c r="R72" s="34">
        <f>Q72*O72</f>
        <v/>
      </c>
      <c r="S72" s="37">
        <f>E72*discount</f>
        <v/>
      </c>
      <c r="T72" s="38">
        <f>S72*R72</f>
        <v/>
      </c>
      <c r="U72" s="38">
        <f>(battery/range_nm)*D72*O72*VLOOKUP(B72,country_opex,3,FALSE)</f>
        <v/>
      </c>
      <c r="V72" s="38">
        <f>VLOOKUP(B72,country_opex,2,FALSE)*crew_factor</f>
        <v/>
      </c>
      <c r="W72" s="38">
        <f>VLOOKUP(B72,country_opex,5,FALSE)</f>
        <v/>
      </c>
      <c r="X72" s="38">
        <f>maint</f>
        <v/>
      </c>
      <c r="Y72" s="38">
        <f>VLOOKUP(B72,country_opex,7,FALSE)*ins_pct</f>
        <v/>
      </c>
      <c r="Z72" s="38">
        <f>charge_berth</f>
        <v/>
      </c>
      <c r="AA72" s="38">
        <f>U72+V72+W72+X72+Y72+Z72</f>
        <v/>
      </c>
      <c r="AB72" s="38">
        <f>VLOOKUP(B72,country_opex,7,FALSE)/dep_years</f>
        <v/>
      </c>
      <c r="AC72" s="38">
        <f>T72-AA72</f>
        <v/>
      </c>
      <c r="AD72" s="35">
        <f>IF(T72=0,"",AC72/T72)</f>
        <v/>
      </c>
      <c r="AE72" s="36">
        <f>IF(AC72&lt;=0,"",VLOOKUP(B72,country_opex,7,FALSE)/AC72)</f>
        <v/>
      </c>
      <c r="AF72" s="33">
        <f>((D72*O72/diesel_nmpg)*diesel_co2pg-(battery/range_nm)*D72*O72*VLOOKUP(B72,country_opex,4,FALSE))/1000</f>
        <v/>
      </c>
      <c r="AG72" s="31" t="n"/>
      <c r="AH72" s="32" t="n"/>
      <c r="AI72" s="32" t="n"/>
      <c r="AJ72" s="39" t="n">
        <v>0.1</v>
      </c>
      <c r="AK72" s="34">
        <f>IF(AG72="","",AG72*AJ72)</f>
        <v/>
      </c>
      <c r="AL72" s="34">
        <f>IF(OR(AG72="",R72=0),"",MIN(IF(AS72="",9.9E+99,AS72),FLOOR(AK72/R72,1)))</f>
        <v/>
      </c>
      <c r="AM72" s="38">
        <f>IF(AL72="","",AL72*T72)</f>
        <v/>
      </c>
      <c r="AN72" s="36">
        <f>IF(OR(AG72="",R72=0),"",MIN(IF(AS72="",9.9E+99,AS72),AK72/R72))</f>
        <v/>
      </c>
      <c r="AO72" s="38">
        <f>IF(AN72="","",AN72*T72)</f>
        <v/>
      </c>
      <c r="AP72" s="40" t="n"/>
      <c r="AQ72" s="41" t="n"/>
      <c r="AR72" s="41" t="n"/>
      <c r="AS72" s="42" t="n"/>
      <c r="AT72" s="43">
        <f>IF(((S72*pax_cap*load_thin*ROUND(K72*L72*revleg_thin,0))-(((battery/range_nm)*D72*ROUND(K72*L72*revleg_thin,0)*VLOOKUP(B72,country_opex,3,FALSE))+V72+W72+X72+Y72+Z72))&lt;=0,"",VLOOKUP(B72,country_opex,7,FALSE)/((S72*pax_cap*load_thin*ROUND(K72*L72*revleg_thin,0))-(((battery/range_nm)*D72*ROUND(K72*L72*revleg_thin,0)*VLOOKUP(B72,country_opex,3,FALSE))+V72+W72+X72+Y72+Z72)))</f>
        <v/>
      </c>
      <c r="AU72" s="43">
        <f>IF(((S72*pax_cap*load_mid*ROUND(K72*L72*revleg_mid,0))-(((battery/range_nm)*D72*ROUND(K72*L72*revleg_mid,0)*VLOOKUP(B72,country_opex,3,FALSE))+V72+W72+X72+Y72+Z72))&lt;=0,"",VLOOKUP(B72,country_opex,7,FALSE)/((S72*pax_cap*load_mid*ROUND(K72*L72*revleg_mid,0))-(((battery/range_nm)*D72*ROUND(K72*L72*revleg_mid,0)*VLOOKUP(B72,country_opex,3,FALSE))+V72+W72+X72+Y72+Z72)))</f>
        <v/>
      </c>
      <c r="AV72" s="43">
        <f>IF(((S72*pax_cap*load_full*ROUND(K72*L72*revleg_full,0))-(((battery/range_nm)*D72*ROUND(K72*L72*revleg_full,0)*VLOOKUP(B72,country_opex,3,FALSE))+V72+W72+X72+Y72+Z72))&lt;=0,"",VLOOKUP(B72,country_opex,7,FALSE)/((S72*pax_cap*load_full*ROUND(K72*L72*revleg_full,0))-(((battery/range_nm)*D72*ROUND(K72*L72*revleg_full,0)*VLOOKUP(B72,country_opex,3,FALSE))+V72+W72+X72+Y72+Z72)))</f>
        <v/>
      </c>
      <c r="AW72" s="44" t="n"/>
      <c r="AX72" s="44" t="n"/>
    </row>
    <row r="73">
      <c r="A73" s="29" t="inlineStr">
        <is>
          <t>Bolt Greece</t>
        </is>
      </c>
      <c r="B73" s="29" t="inlineStr">
        <is>
          <t>Greece</t>
        </is>
      </c>
      <c r="C73" s="30" t="inlineStr">
        <is>
          <t>Athens (Piraeus) → Poros (Saronic)</t>
        </is>
      </c>
      <c r="D73" s="31" t="n">
        <v>27</v>
      </c>
      <c r="E73" s="26" t="n">
        <v>18.4</v>
      </c>
      <c r="F73" s="32" t="inlineStr">
        <is>
          <t>T2</t>
        </is>
      </c>
      <c r="G73" s="32" t="inlineStr">
        <is>
          <t>med</t>
        </is>
      </c>
      <c r="H73" s="19" t="n">
        <v>1</v>
      </c>
      <c r="I73" s="33">
        <f>60*D73/cruise_kt</f>
        <v/>
      </c>
      <c r="J73" s="33">
        <f>I73+turn_min+dwell_min</f>
        <v/>
      </c>
      <c r="K73" s="34">
        <f>MIN(10,FLOOR(60*service_hr/J73,1))</f>
        <v/>
      </c>
      <c r="L73" s="34">
        <f>ROUND(365*mech_uptime*H73,0)</f>
        <v/>
      </c>
      <c r="M73" s="35">
        <f>mech_uptime</f>
        <v/>
      </c>
      <c r="N73" s="35">
        <f>revleg_sel</f>
        <v/>
      </c>
      <c r="O73" s="34">
        <f>ROUND(K73*L73*revleg_sel,0)</f>
        <v/>
      </c>
      <c r="P73" s="36">
        <f>load_sel</f>
        <v/>
      </c>
      <c r="Q73" s="36">
        <f>pax_cap*P73</f>
        <v/>
      </c>
      <c r="R73" s="34">
        <f>Q73*O73</f>
        <v/>
      </c>
      <c r="S73" s="37">
        <f>E73*discount</f>
        <v/>
      </c>
      <c r="T73" s="38">
        <f>S73*R73</f>
        <v/>
      </c>
      <c r="U73" s="38">
        <f>(battery/range_nm)*D73*O73*VLOOKUP(B73,country_opex,3,FALSE)</f>
        <v/>
      </c>
      <c r="V73" s="38">
        <f>VLOOKUP(B73,country_opex,2,FALSE)*crew_factor</f>
        <v/>
      </c>
      <c r="W73" s="38">
        <f>VLOOKUP(B73,country_opex,5,FALSE)</f>
        <v/>
      </c>
      <c r="X73" s="38">
        <f>maint</f>
        <v/>
      </c>
      <c r="Y73" s="38">
        <f>VLOOKUP(B73,country_opex,7,FALSE)*ins_pct</f>
        <v/>
      </c>
      <c r="Z73" s="38">
        <f>charge_berth</f>
        <v/>
      </c>
      <c r="AA73" s="38">
        <f>U73+V73+W73+X73+Y73+Z73</f>
        <v/>
      </c>
      <c r="AB73" s="38">
        <f>VLOOKUP(B73,country_opex,7,FALSE)/dep_years</f>
        <v/>
      </c>
      <c r="AC73" s="38">
        <f>T73-AA73</f>
        <v/>
      </c>
      <c r="AD73" s="35">
        <f>IF(T73=0,"",AC73/T73)</f>
        <v/>
      </c>
      <c r="AE73" s="36">
        <f>IF(AC73&lt;=0,"",VLOOKUP(B73,country_opex,7,FALSE)/AC73)</f>
        <v/>
      </c>
      <c r="AF73" s="33">
        <f>((D73*O73/diesel_nmpg)*diesel_co2pg-(battery/range_nm)*D73*O73*VLOOKUP(B73,country_opex,4,FALSE))/1000</f>
        <v/>
      </c>
      <c r="AG73" s="31" t="n"/>
      <c r="AH73" s="32" t="n"/>
      <c r="AI73" s="32" t="n"/>
      <c r="AJ73" s="39" t="n">
        <v>0.1</v>
      </c>
      <c r="AK73" s="34">
        <f>IF(AG73="","",AG73*AJ73)</f>
        <v/>
      </c>
      <c r="AL73" s="34">
        <f>IF(OR(AG73="",R73=0),"",MIN(IF(AS73="",9.9E+99,AS73),FLOOR(AK73/R73,1)))</f>
        <v/>
      </c>
      <c r="AM73" s="38">
        <f>IF(AL73="","",AL73*T73)</f>
        <v/>
      </c>
      <c r="AN73" s="36">
        <f>IF(OR(AG73="",R73=0),"",MIN(IF(AS73="",9.9E+99,AS73),AK73/R73))</f>
        <v/>
      </c>
      <c r="AO73" s="38">
        <f>IF(AN73="","",AN73*T73)</f>
        <v/>
      </c>
      <c r="AP73" s="40" t="n"/>
      <c r="AQ73" s="41" t="n"/>
      <c r="AR73" s="41" t="n"/>
      <c r="AS73" s="42" t="n"/>
      <c r="AT73" s="43">
        <f>IF(((S73*pax_cap*load_thin*ROUND(K73*L73*revleg_thin,0))-(((battery/range_nm)*D73*ROUND(K73*L73*revleg_thin,0)*VLOOKUP(B73,country_opex,3,FALSE))+V73+W73+X73+Y73+Z73))&lt;=0,"",VLOOKUP(B73,country_opex,7,FALSE)/((S73*pax_cap*load_thin*ROUND(K73*L73*revleg_thin,0))-(((battery/range_nm)*D73*ROUND(K73*L73*revleg_thin,0)*VLOOKUP(B73,country_opex,3,FALSE))+V73+W73+X73+Y73+Z73)))</f>
        <v/>
      </c>
      <c r="AU73" s="43">
        <f>IF(((S73*pax_cap*load_mid*ROUND(K73*L73*revleg_mid,0))-(((battery/range_nm)*D73*ROUND(K73*L73*revleg_mid,0)*VLOOKUP(B73,country_opex,3,FALSE))+V73+W73+X73+Y73+Z73))&lt;=0,"",VLOOKUP(B73,country_opex,7,FALSE)/((S73*pax_cap*load_mid*ROUND(K73*L73*revleg_mid,0))-(((battery/range_nm)*D73*ROUND(K73*L73*revleg_mid,0)*VLOOKUP(B73,country_opex,3,FALSE))+V73+W73+X73+Y73+Z73)))</f>
        <v/>
      </c>
      <c r="AV73" s="43">
        <f>IF(((S73*pax_cap*load_full*ROUND(K73*L73*revleg_full,0))-(((battery/range_nm)*D73*ROUND(K73*L73*revleg_full,0)*VLOOKUP(B73,country_opex,3,FALSE))+V73+W73+X73+Y73+Z73))&lt;=0,"",VLOOKUP(B73,country_opex,7,FALSE)/((S73*pax_cap*load_full*ROUND(K73*L73*revleg_full,0))-(((battery/range_nm)*D73*ROUND(K73*L73*revleg_full,0)*VLOOKUP(B73,country_opex,3,FALSE))+V73+W73+X73+Y73+Z73)))</f>
        <v/>
      </c>
      <c r="AW73" s="44" t="inlineStr">
        <is>
          <t>PREMIUM scheduled per-seat = Hellenic Seaways fast craft Piraeus-&gt;Poros EUR 17.00 one-way (~$18.4).</t>
        </is>
      </c>
      <c r="AX73" s="44" t="n"/>
    </row>
    <row r="74">
      <c r="A74" s="29" t="inlineStr">
        <is>
          <t>Bolt Greece</t>
        </is>
      </c>
      <c r="B74" s="29" t="inlineStr">
        <is>
          <t>Greece</t>
        </is>
      </c>
      <c r="C74" s="30" t="inlineStr">
        <is>
          <t>Mykonos → Naxos</t>
        </is>
      </c>
      <c r="D74" s="31" t="n">
        <v>28</v>
      </c>
      <c r="E74" s="26" t="n">
        <v>54</v>
      </c>
      <c r="F74" s="32" t="inlineStr">
        <is>
          <t>T2</t>
        </is>
      </c>
      <c r="G74" s="32" t="inlineStr">
        <is>
          <t>med</t>
        </is>
      </c>
      <c r="H74" s="19" t="n">
        <v>1</v>
      </c>
      <c r="I74" s="33">
        <f>60*D74/cruise_kt</f>
        <v/>
      </c>
      <c r="J74" s="33">
        <f>I74+turn_min+dwell_min</f>
        <v/>
      </c>
      <c r="K74" s="34">
        <f>MIN(10,FLOOR(60*service_hr/J74,1))</f>
        <v/>
      </c>
      <c r="L74" s="34">
        <f>ROUND(365*mech_uptime*H74,0)</f>
        <v/>
      </c>
      <c r="M74" s="35">
        <f>mech_uptime</f>
        <v/>
      </c>
      <c r="N74" s="35">
        <f>revleg_sel</f>
        <v/>
      </c>
      <c r="O74" s="34">
        <f>ROUND(K74*L74*revleg_sel,0)</f>
        <v/>
      </c>
      <c r="P74" s="36">
        <f>load_sel</f>
        <v/>
      </c>
      <c r="Q74" s="36">
        <f>pax_cap*P74</f>
        <v/>
      </c>
      <c r="R74" s="34">
        <f>Q74*O74</f>
        <v/>
      </c>
      <c r="S74" s="37">
        <f>E74*discount</f>
        <v/>
      </c>
      <c r="T74" s="38">
        <f>S74*R74</f>
        <v/>
      </c>
      <c r="U74" s="38">
        <f>(battery/range_nm)*D74*O74*VLOOKUP(B74,country_opex,3,FALSE)</f>
        <v/>
      </c>
      <c r="V74" s="38">
        <f>VLOOKUP(B74,country_opex,2,FALSE)*crew_factor</f>
        <v/>
      </c>
      <c r="W74" s="38">
        <f>VLOOKUP(B74,country_opex,5,FALSE)</f>
        <v/>
      </c>
      <c r="X74" s="38">
        <f>maint</f>
        <v/>
      </c>
      <c r="Y74" s="38">
        <f>VLOOKUP(B74,country_opex,7,FALSE)*ins_pct</f>
        <v/>
      </c>
      <c r="Z74" s="38">
        <f>charge_berth</f>
        <v/>
      </c>
      <c r="AA74" s="38">
        <f>U74+V74+W74+X74+Y74+Z74</f>
        <v/>
      </c>
      <c r="AB74" s="38">
        <f>VLOOKUP(B74,country_opex,7,FALSE)/dep_years</f>
        <v/>
      </c>
      <c r="AC74" s="38">
        <f>T74-AA74</f>
        <v/>
      </c>
      <c r="AD74" s="35">
        <f>IF(T74=0,"",AC74/T74)</f>
        <v/>
      </c>
      <c r="AE74" s="36">
        <f>IF(AC74&lt;=0,"",VLOOKUP(B74,country_opex,7,FALSE)/AC74)</f>
        <v/>
      </c>
      <c r="AF74" s="33">
        <f>((D74*O74/diesel_nmpg)*diesel_co2pg-(battery/range_nm)*D74*O74*VLOOKUP(B74,country_opex,4,FALSE))/1000</f>
        <v/>
      </c>
      <c r="AG74" s="31" t="n"/>
      <c r="AH74" s="32" t="n"/>
      <c r="AI74" s="32" t="n"/>
      <c r="AJ74" s="39" t="n">
        <v>0.1</v>
      </c>
      <c r="AK74" s="34">
        <f>IF(AG74="","",AG74*AJ74)</f>
        <v/>
      </c>
      <c r="AL74" s="34">
        <f>IF(OR(AG74="",R74=0),"",MIN(IF(AS74="",9.9E+99,AS74),FLOOR(AK74/R74,1)))</f>
        <v/>
      </c>
      <c r="AM74" s="38">
        <f>IF(AL74="","",AL74*T74)</f>
        <v/>
      </c>
      <c r="AN74" s="36">
        <f>IF(OR(AG74="",R74=0),"",MIN(IF(AS74="",9.9E+99,AS74),AK74/R74))</f>
        <v/>
      </c>
      <c r="AO74" s="38">
        <f>IF(AN74="","",AN74*T74)</f>
        <v/>
      </c>
      <c r="AP74" s="40" t="n"/>
      <c r="AQ74" s="41" t="n"/>
      <c r="AR74" s="41" t="n"/>
      <c r="AS74" s="42" t="n"/>
      <c r="AT74" s="43">
        <f>IF(((S74*pax_cap*load_thin*ROUND(K74*L74*revleg_thin,0))-(((battery/range_nm)*D74*ROUND(K74*L74*revleg_thin,0)*VLOOKUP(B74,country_opex,3,FALSE))+V74+W74+X74+Y74+Z74))&lt;=0,"",VLOOKUP(B74,country_opex,7,FALSE)/((S74*pax_cap*load_thin*ROUND(K74*L74*revleg_thin,0))-(((battery/range_nm)*D74*ROUND(K74*L74*revleg_thin,0)*VLOOKUP(B74,country_opex,3,FALSE))+V74+W74+X74+Y74+Z74)))</f>
        <v/>
      </c>
      <c r="AU74" s="43">
        <f>IF(((S74*pax_cap*load_mid*ROUND(K74*L74*revleg_mid,0))-(((battery/range_nm)*D74*ROUND(K74*L74*revleg_mid,0)*VLOOKUP(B74,country_opex,3,FALSE))+V74+W74+X74+Y74+Z74))&lt;=0,"",VLOOKUP(B74,country_opex,7,FALSE)/((S74*pax_cap*load_mid*ROUND(K74*L74*revleg_mid,0))-(((battery/range_nm)*D74*ROUND(K74*L74*revleg_mid,0)*VLOOKUP(B74,country_opex,3,FALSE))+V74+W74+X74+Y74+Z74)))</f>
        <v/>
      </c>
      <c r="AV74" s="43">
        <f>IF(((S74*pax_cap*load_full*ROUND(K74*L74*revleg_full,0))-(((battery/range_nm)*D74*ROUND(K74*L74*revleg_full,0)*VLOOKUP(B74,country_opex,3,FALSE))+V74+W74+X74+Y74+Z74))&lt;=0,"",VLOOKUP(B74,country_opex,7,FALSE)/((S74*pax_cap*load_full*ROUND(K74*L74*revleg_full,0))-(((battery/range_nm)*D74*ROUND(K74*L74*revleg_full,0)*VLOOKUP(B74,country_opex,3,FALSE))+V74+W74+X74+Y74+Z74)))</f>
        <v/>
      </c>
      <c r="AW74" s="44" t="inlineStr">
        <is>
          <t>PREMIUM scheduled per-seat = Seajets/fast-ferry Mykonos-&gt;Naxos ~EUR 50 one-way (~$54), in line with the Mykonos-&gt;Paros tier (similar distance). Approximate.</t>
        </is>
      </c>
      <c r="AX74" s="44" t="n"/>
    </row>
    <row r="75">
      <c r="A75" s="29" t="inlineStr">
        <is>
          <t>Bolt Greece</t>
        </is>
      </c>
      <c r="B75" s="29" t="inlineStr">
        <is>
          <t>Greece</t>
        </is>
      </c>
      <c r="C75" s="30" t="inlineStr">
        <is>
          <t>Athens → Hydra (Saronic)</t>
        </is>
      </c>
      <c r="D75" s="31" t="n">
        <v>30</v>
      </c>
      <c r="E75" s="26" t="n">
        <v>43.2</v>
      </c>
      <c r="F75" s="32" t="inlineStr">
        <is>
          <t>T2</t>
        </is>
      </c>
      <c r="G75" s="32" t="inlineStr">
        <is>
          <t>med</t>
        </is>
      </c>
      <c r="H75" s="19" t="n">
        <v>1</v>
      </c>
      <c r="I75" s="33">
        <f>60*D75/cruise_kt</f>
        <v/>
      </c>
      <c r="J75" s="33">
        <f>I75+turn_min+dwell_min</f>
        <v/>
      </c>
      <c r="K75" s="34">
        <f>MIN(10,FLOOR(60*service_hr/J75,1))</f>
        <v/>
      </c>
      <c r="L75" s="34">
        <f>ROUND(365*mech_uptime*H75,0)</f>
        <v/>
      </c>
      <c r="M75" s="35">
        <f>mech_uptime</f>
        <v/>
      </c>
      <c r="N75" s="35">
        <f>revleg_sel</f>
        <v/>
      </c>
      <c r="O75" s="34">
        <f>ROUND(K75*L75*revleg_sel,0)</f>
        <v/>
      </c>
      <c r="P75" s="36">
        <f>load_sel</f>
        <v/>
      </c>
      <c r="Q75" s="36">
        <f>pax_cap*P75</f>
        <v/>
      </c>
      <c r="R75" s="34">
        <f>Q75*O75</f>
        <v/>
      </c>
      <c r="S75" s="37">
        <f>E75*discount</f>
        <v/>
      </c>
      <c r="T75" s="38">
        <f>S75*R75</f>
        <v/>
      </c>
      <c r="U75" s="38">
        <f>(battery/range_nm)*D75*O75*VLOOKUP(B75,country_opex,3,FALSE)</f>
        <v/>
      </c>
      <c r="V75" s="38">
        <f>VLOOKUP(B75,country_opex,2,FALSE)*crew_factor</f>
        <v/>
      </c>
      <c r="W75" s="38">
        <f>VLOOKUP(B75,country_opex,5,FALSE)</f>
        <v/>
      </c>
      <c r="X75" s="38">
        <f>maint</f>
        <v/>
      </c>
      <c r="Y75" s="38">
        <f>VLOOKUP(B75,country_opex,7,FALSE)*ins_pct</f>
        <v/>
      </c>
      <c r="Z75" s="38">
        <f>charge_berth</f>
        <v/>
      </c>
      <c r="AA75" s="38">
        <f>U75+V75+W75+X75+Y75+Z75</f>
        <v/>
      </c>
      <c r="AB75" s="38">
        <f>VLOOKUP(B75,country_opex,7,FALSE)/dep_years</f>
        <v/>
      </c>
      <c r="AC75" s="38">
        <f>T75-AA75</f>
        <v/>
      </c>
      <c r="AD75" s="35">
        <f>IF(T75=0,"",AC75/T75)</f>
        <v/>
      </c>
      <c r="AE75" s="36">
        <f>IF(AC75&lt;=0,"",VLOOKUP(B75,country_opex,7,FALSE)/AC75)</f>
        <v/>
      </c>
      <c r="AF75" s="33">
        <f>((D75*O75/diesel_nmpg)*diesel_co2pg-(battery/range_nm)*D75*O75*VLOOKUP(B75,country_opex,4,FALSE))/1000</f>
        <v/>
      </c>
      <c r="AG75" s="31" t="n"/>
      <c r="AH75" s="32" t="inlineStr">
        <is>
          <t>T5</t>
        </is>
      </c>
      <c r="AI75" s="32" t="inlineStr">
        <is>
          <t>low</t>
        </is>
      </c>
      <c r="AJ75" s="39" t="n">
        <v>0.1</v>
      </c>
      <c r="AK75" s="34">
        <f>IF(AG75="","",AG75*AJ75)</f>
        <v/>
      </c>
      <c r="AL75" s="34">
        <f>IF(OR(AG75="",R75=0),"",MIN(IF(AS75="",9.9E+99,AS75),FLOOR(AK75/R75,1)))</f>
        <v/>
      </c>
      <c r="AM75" s="38">
        <f>IF(AL75="","",AL75*T75)</f>
        <v/>
      </c>
      <c r="AN75" s="36">
        <f>IF(OR(AG75="",R75=0),"",MIN(IF(AS75="",9.9E+99,AS75),AK75/R75))</f>
        <v/>
      </c>
      <c r="AO75" s="38">
        <f>IF(AN75="","",AN75*T75)</f>
        <v/>
      </c>
      <c r="AP75" s="40" t="n"/>
      <c r="AQ75" s="41" t="n"/>
      <c r="AR75" s="41" t="n"/>
      <c r="AS75" s="42" t="n"/>
      <c r="AT75" s="43">
        <f>IF(((S75*pax_cap*load_thin*ROUND(K75*L75*revleg_thin,0))-(((battery/range_nm)*D75*ROUND(K75*L75*revleg_thin,0)*VLOOKUP(B75,country_opex,3,FALSE))+V75+W75+X75+Y75+Z75))&lt;=0,"",VLOOKUP(B75,country_opex,7,FALSE)/((S75*pax_cap*load_thin*ROUND(K75*L75*revleg_thin,0))-(((battery/range_nm)*D75*ROUND(K75*L75*revleg_thin,0)*VLOOKUP(B75,country_opex,3,FALSE))+V75+W75+X75+Y75+Z75)))</f>
        <v/>
      </c>
      <c r="AU75" s="43">
        <f>IF(((S75*pax_cap*load_mid*ROUND(K75*L75*revleg_mid,0))-(((battery/range_nm)*D75*ROUND(K75*L75*revleg_mid,0)*VLOOKUP(B75,country_opex,3,FALSE))+V75+W75+X75+Y75+Z75))&lt;=0,"",VLOOKUP(B75,country_opex,7,FALSE)/((S75*pax_cap*load_mid*ROUND(K75*L75*revleg_mid,0))-(((battery/range_nm)*D75*ROUND(K75*L75*revleg_mid,0)*VLOOKUP(B75,country_opex,3,FALSE))+V75+W75+X75+Y75+Z75)))</f>
        <v/>
      </c>
      <c r="AV75" s="43">
        <f>IF(((S75*pax_cap*load_full*ROUND(K75*L75*revleg_full,0))-(((battery/range_nm)*D75*ROUND(K75*L75*revleg_full,0)*VLOOKUP(B75,country_opex,3,FALSE))+V75+W75+X75+Y75+Z75))&lt;=0,"",VLOOKUP(B75,country_opex,7,FALSE)/((S75*pax_cap*load_full*ROUND(K75*L75*revleg_full,0))-(((battery/range_nm)*D75*ROUND(K75*L75*revleg_full,0)*VLOOKUP(B75,country_opex,3,FALSE))+V75+W75+X75+Y75+Z75)))</f>
        <v/>
      </c>
      <c r="AW75" s="44" t="inlineStr">
        <is>
          <t>PREMIUM scheduled per-seat = Hellenic Seaways high-speed catamaran (Flying Cat) Piraeus-&gt;Hydra EUR 40 each way (~$43.2). Hydra has NO slow car-ferry (no cars), so the fast-ferry ticket IS the premium scheduled tier and the correct Navier modeling fare.</t>
        </is>
      </c>
      <c r="AX75" s="44" t="inlineStr"/>
    </row>
    <row r="76">
      <c r="A76" s="29" t="inlineStr">
        <is>
          <t>Bolt Greece</t>
        </is>
      </c>
      <c r="B76" s="29" t="inlineStr">
        <is>
          <t>Greece</t>
        </is>
      </c>
      <c r="C76" s="30" t="inlineStr">
        <is>
          <t>Athens (Piraeus) → Spetses (Saronic)</t>
        </is>
      </c>
      <c r="D76" s="31" t="n">
        <v>50</v>
      </c>
      <c r="E76" s="26" t="n">
        <v>37.8</v>
      </c>
      <c r="F76" s="32" t="inlineStr">
        <is>
          <t>T2</t>
        </is>
      </c>
      <c r="G76" s="32" t="inlineStr">
        <is>
          <t>med</t>
        </is>
      </c>
      <c r="H76" s="19" t="n">
        <v>1</v>
      </c>
      <c r="I76" s="33">
        <f>60*D76/cruise_kt</f>
        <v/>
      </c>
      <c r="J76" s="33">
        <f>I76+turn_min+dwell_min</f>
        <v/>
      </c>
      <c r="K76" s="34">
        <f>MIN(10,FLOOR(60*service_hr/J76,1))</f>
        <v/>
      </c>
      <c r="L76" s="34">
        <f>ROUND(365*mech_uptime*H76,0)</f>
        <v/>
      </c>
      <c r="M76" s="35">
        <f>mech_uptime</f>
        <v/>
      </c>
      <c r="N76" s="35">
        <f>revleg_sel</f>
        <v/>
      </c>
      <c r="O76" s="34">
        <f>ROUND(K76*L76*revleg_sel,0)</f>
        <v/>
      </c>
      <c r="P76" s="36">
        <f>load_sel</f>
        <v/>
      </c>
      <c r="Q76" s="36">
        <f>pax_cap*P76</f>
        <v/>
      </c>
      <c r="R76" s="34">
        <f>Q76*O76</f>
        <v/>
      </c>
      <c r="S76" s="37">
        <f>E76*discount</f>
        <v/>
      </c>
      <c r="T76" s="38">
        <f>S76*R76</f>
        <v/>
      </c>
      <c r="U76" s="38">
        <f>(battery/range_nm)*D76*O76*VLOOKUP(B76,country_opex,3,FALSE)</f>
        <v/>
      </c>
      <c r="V76" s="38">
        <f>VLOOKUP(B76,country_opex,2,FALSE)*crew_factor</f>
        <v/>
      </c>
      <c r="W76" s="38">
        <f>VLOOKUP(B76,country_opex,5,FALSE)</f>
        <v/>
      </c>
      <c r="X76" s="38">
        <f>maint</f>
        <v/>
      </c>
      <c r="Y76" s="38">
        <f>VLOOKUP(B76,country_opex,7,FALSE)*ins_pct</f>
        <v/>
      </c>
      <c r="Z76" s="38">
        <f>charge_berth</f>
        <v/>
      </c>
      <c r="AA76" s="38">
        <f>U76+V76+W76+X76+Y76+Z76</f>
        <v/>
      </c>
      <c r="AB76" s="38">
        <f>VLOOKUP(B76,country_opex,7,FALSE)/dep_years</f>
        <v/>
      </c>
      <c r="AC76" s="38">
        <f>T76-AA76</f>
        <v/>
      </c>
      <c r="AD76" s="35">
        <f>IF(T76=0,"",AC76/T76)</f>
        <v/>
      </c>
      <c r="AE76" s="36">
        <f>IF(AC76&lt;=0,"",VLOOKUP(B76,country_opex,7,FALSE)/AC76)</f>
        <v/>
      </c>
      <c r="AF76" s="33">
        <f>((D76*O76/diesel_nmpg)*diesel_co2pg-(battery/range_nm)*D76*O76*VLOOKUP(B76,country_opex,4,FALSE))/1000</f>
        <v/>
      </c>
      <c r="AG76" s="31" t="n"/>
      <c r="AH76" s="32" t="n"/>
      <c r="AI76" s="32" t="n"/>
      <c r="AJ76" s="39" t="n">
        <v>0.1</v>
      </c>
      <c r="AK76" s="34">
        <f>IF(AG76="","",AG76*AJ76)</f>
        <v/>
      </c>
      <c r="AL76" s="34">
        <f>IF(OR(AG76="",R76=0),"",MIN(IF(AS76="",9.9E+99,AS76),FLOOR(AK76/R76,1)))</f>
        <v/>
      </c>
      <c r="AM76" s="38">
        <f>IF(AL76="","",AL76*T76)</f>
        <v/>
      </c>
      <c r="AN76" s="36">
        <f>IF(OR(AG76="",R76=0),"",MIN(IF(AS76="",9.9E+99,AS76),AK76/R76))</f>
        <v/>
      </c>
      <c r="AO76" s="38">
        <f>IF(AN76="","",AN76*T76)</f>
        <v/>
      </c>
      <c r="AP76" s="40" t="n"/>
      <c r="AQ76" s="41" t="n"/>
      <c r="AR76" s="41" t="n"/>
      <c r="AS76" s="42" t="n"/>
      <c r="AT76" s="43">
        <f>IF(((S76*pax_cap*load_thin*ROUND(K76*L76*revleg_thin,0))-(((battery/range_nm)*D76*ROUND(K76*L76*revleg_thin,0)*VLOOKUP(B76,country_opex,3,FALSE))+V76+W76+X76+Y76+Z76))&lt;=0,"",VLOOKUP(B76,country_opex,7,FALSE)/((S76*pax_cap*load_thin*ROUND(K76*L76*revleg_thin,0))-(((battery/range_nm)*D76*ROUND(K76*L76*revleg_thin,0)*VLOOKUP(B76,country_opex,3,FALSE))+V76+W76+X76+Y76+Z76)))</f>
        <v/>
      </c>
      <c r="AU76" s="43">
        <f>IF(((S76*pax_cap*load_mid*ROUND(K76*L76*revleg_mid,0))-(((battery/range_nm)*D76*ROUND(K76*L76*revleg_mid,0)*VLOOKUP(B76,country_opex,3,FALSE))+V76+W76+X76+Y76+Z76))&lt;=0,"",VLOOKUP(B76,country_opex,7,FALSE)/((S76*pax_cap*load_mid*ROUND(K76*L76*revleg_mid,0))-(((battery/range_nm)*D76*ROUND(K76*L76*revleg_mid,0)*VLOOKUP(B76,country_opex,3,FALSE))+V76+W76+X76+Y76+Z76)))</f>
        <v/>
      </c>
      <c r="AV76" s="43">
        <f>IF(((S76*pax_cap*load_full*ROUND(K76*L76*revleg_full,0))-(((battery/range_nm)*D76*ROUND(K76*L76*revleg_full,0)*VLOOKUP(B76,country_opex,3,FALSE))+V76+W76+X76+Y76+Z76))&lt;=0,"",VLOOKUP(B76,country_opex,7,FALSE)/((S76*pax_cap*load_full*ROUND(K76*L76*revleg_full,0))-(((battery/range_nm)*D76*ROUND(K76*L76*revleg_full,0)*VLOOKUP(B76,country_opex,3,FALSE))+V76+W76+X76+Y76+Z76)))</f>
        <v/>
      </c>
      <c r="AW76" s="44" t="inlineStr">
        <is>
          <t>PREMIUM scheduled per-seat = Hellenic Seaways Flying Cat Piraeus-&gt;Spetses ~EUR 35 one-way (~$37.8); Spetses sits beyond Hydra (EUR 40) on the same Flying Cat line, so this is an approximate lower bound. Labeled approximate.</t>
        </is>
      </c>
      <c r="AX76" s="44" t="n"/>
    </row>
    <row r="77">
      <c r="A77" s="29" t="inlineStr">
        <is>
          <t>Bolt Greece</t>
        </is>
      </c>
      <c r="B77" s="29" t="inlineStr">
        <is>
          <t>Greece</t>
        </is>
      </c>
      <c r="C77" s="30" t="inlineStr">
        <is>
          <t>Naxos → Santorini (Thira)</t>
        </is>
      </c>
      <c r="D77" s="31" t="n">
        <v>50</v>
      </c>
      <c r="E77" s="26" t="n">
        <v>54</v>
      </c>
      <c r="F77" s="32" t="inlineStr">
        <is>
          <t>T2</t>
        </is>
      </c>
      <c r="G77" s="32" t="inlineStr">
        <is>
          <t>med</t>
        </is>
      </c>
      <c r="H77" s="19" t="n">
        <v>1</v>
      </c>
      <c r="I77" s="33">
        <f>60*D77/cruise_kt</f>
        <v/>
      </c>
      <c r="J77" s="33">
        <f>I77+turn_min+dwell_min</f>
        <v/>
      </c>
      <c r="K77" s="34">
        <f>MIN(10,FLOOR(60*service_hr/J77,1))</f>
        <v/>
      </c>
      <c r="L77" s="34">
        <f>ROUND(365*mech_uptime*H77,0)</f>
        <v/>
      </c>
      <c r="M77" s="35">
        <f>mech_uptime</f>
        <v/>
      </c>
      <c r="N77" s="35">
        <f>revleg_sel</f>
        <v/>
      </c>
      <c r="O77" s="34">
        <f>ROUND(K77*L77*revleg_sel,0)</f>
        <v/>
      </c>
      <c r="P77" s="36">
        <f>load_sel</f>
        <v/>
      </c>
      <c r="Q77" s="36">
        <f>pax_cap*P77</f>
        <v/>
      </c>
      <c r="R77" s="34">
        <f>Q77*O77</f>
        <v/>
      </c>
      <c r="S77" s="37">
        <f>E77*discount</f>
        <v/>
      </c>
      <c r="T77" s="38">
        <f>S77*R77</f>
        <v/>
      </c>
      <c r="U77" s="38">
        <f>(battery/range_nm)*D77*O77*VLOOKUP(B77,country_opex,3,FALSE)</f>
        <v/>
      </c>
      <c r="V77" s="38">
        <f>VLOOKUP(B77,country_opex,2,FALSE)*crew_factor</f>
        <v/>
      </c>
      <c r="W77" s="38">
        <f>VLOOKUP(B77,country_opex,5,FALSE)</f>
        <v/>
      </c>
      <c r="X77" s="38">
        <f>maint</f>
        <v/>
      </c>
      <c r="Y77" s="38">
        <f>VLOOKUP(B77,country_opex,7,FALSE)*ins_pct</f>
        <v/>
      </c>
      <c r="Z77" s="38">
        <f>charge_berth</f>
        <v/>
      </c>
      <c r="AA77" s="38">
        <f>U77+V77+W77+X77+Y77+Z77</f>
        <v/>
      </c>
      <c r="AB77" s="38">
        <f>VLOOKUP(B77,country_opex,7,FALSE)/dep_years</f>
        <v/>
      </c>
      <c r="AC77" s="38">
        <f>T77-AA77</f>
        <v/>
      </c>
      <c r="AD77" s="35">
        <f>IF(T77=0,"",AC77/T77)</f>
        <v/>
      </c>
      <c r="AE77" s="36">
        <f>IF(AC77&lt;=0,"",VLOOKUP(B77,country_opex,7,FALSE)/AC77)</f>
        <v/>
      </c>
      <c r="AF77" s="33">
        <f>((D77*O77/diesel_nmpg)*diesel_co2pg-(battery/range_nm)*D77*O77*VLOOKUP(B77,country_opex,4,FALSE))/1000</f>
        <v/>
      </c>
      <c r="AG77" s="31" t="n"/>
      <c r="AH77" s="32" t="n"/>
      <c r="AI77" s="32" t="n"/>
      <c r="AJ77" s="39" t="n">
        <v>0.1</v>
      </c>
      <c r="AK77" s="34">
        <f>IF(AG77="","",AG77*AJ77)</f>
        <v/>
      </c>
      <c r="AL77" s="34">
        <f>IF(OR(AG77="",R77=0),"",MIN(IF(AS77="",9.9E+99,AS77),FLOOR(AK77/R77,1)))</f>
        <v/>
      </c>
      <c r="AM77" s="38">
        <f>IF(AL77="","",AL77*T77)</f>
        <v/>
      </c>
      <c r="AN77" s="36">
        <f>IF(OR(AG77="",R77=0),"",MIN(IF(AS77="",9.9E+99,AS77),AK77/R77))</f>
        <v/>
      </c>
      <c r="AO77" s="38">
        <f>IF(AN77="","",AN77*T77)</f>
        <v/>
      </c>
      <c r="AP77" s="40" t="n"/>
      <c r="AQ77" s="41" t="n"/>
      <c r="AR77" s="41" t="n"/>
      <c r="AS77" s="42" t="n"/>
      <c r="AT77" s="43">
        <f>IF(((S77*pax_cap*load_thin*ROUND(K77*L77*revleg_thin,0))-(((battery/range_nm)*D77*ROUND(K77*L77*revleg_thin,0)*VLOOKUP(B77,country_opex,3,FALSE))+V77+W77+X77+Y77+Z77))&lt;=0,"",VLOOKUP(B77,country_opex,7,FALSE)/((S77*pax_cap*load_thin*ROUND(K77*L77*revleg_thin,0))-(((battery/range_nm)*D77*ROUND(K77*L77*revleg_thin,0)*VLOOKUP(B77,country_opex,3,FALSE))+V77+W77+X77+Y77+Z77)))</f>
        <v/>
      </c>
      <c r="AU77" s="43">
        <f>IF(((S77*pax_cap*load_mid*ROUND(K77*L77*revleg_mid,0))-(((battery/range_nm)*D77*ROUND(K77*L77*revleg_mid,0)*VLOOKUP(B77,country_opex,3,FALSE))+V77+W77+X77+Y77+Z77))&lt;=0,"",VLOOKUP(B77,country_opex,7,FALSE)/((S77*pax_cap*load_mid*ROUND(K77*L77*revleg_mid,0))-(((battery/range_nm)*D77*ROUND(K77*L77*revleg_mid,0)*VLOOKUP(B77,country_opex,3,FALSE))+V77+W77+X77+Y77+Z77)))</f>
        <v/>
      </c>
      <c r="AV77" s="43">
        <f>IF(((S77*pax_cap*load_full*ROUND(K77*L77*revleg_full,0))-(((battery/range_nm)*D77*ROUND(K77*L77*revleg_full,0)*VLOOKUP(B77,country_opex,3,FALSE))+V77+W77+X77+Y77+Z77))&lt;=0,"",VLOOKUP(B77,country_opex,7,FALSE)/((S77*pax_cap*load_full*ROUND(K77*L77*revleg_full,0))-(((battery/range_nm)*D77*ROUND(K77*L77*revleg_full,0)*VLOOKUP(B77,country_opex,3,FALSE))+V77+W77+X77+Y77+Z77)))</f>
        <v/>
      </c>
      <c r="AW77" s="44" t="inlineStr">
        <is>
          <t>PREMIUM scheduled per-seat = fast-ferry Naxos-&gt;Santorini ~EUR 50 one-way (~$54); standard fast-ferry tier on the central-to-southern Cyclades leg. Approximate.</t>
        </is>
      </c>
      <c r="AX77" s="44" t="n"/>
    </row>
    <row r="78">
      <c r="A78" s="29" t="inlineStr">
        <is>
          <t>Bolt Ireland</t>
        </is>
      </c>
      <c r="B78" s="29" t="inlineStr">
        <is>
          <t>Ireland</t>
        </is>
      </c>
      <c r="C78" s="30" t="inlineStr">
        <is>
          <t>Dalkey → Dalkey Island</t>
        </is>
      </c>
      <c r="D78" s="31" t="n">
        <v>0.3</v>
      </c>
      <c r="E78" s="26" t="n">
        <v>10.8</v>
      </c>
      <c r="F78" s="32" t="inlineStr">
        <is>
          <t>T2</t>
        </is>
      </c>
      <c r="G78" s="32" t="inlineStr">
        <is>
          <t>med</t>
        </is>
      </c>
      <c r="H78" s="19" t="n">
        <v>1</v>
      </c>
      <c r="I78" s="33">
        <f>60*D78/cruise_kt</f>
        <v/>
      </c>
      <c r="J78" s="33">
        <f>I78+turn_min+dwell_min</f>
        <v/>
      </c>
      <c r="K78" s="34">
        <f>MIN(10,FLOOR(60*service_hr/J78,1))</f>
        <v/>
      </c>
      <c r="L78" s="34">
        <f>ROUND(365*mech_uptime*H78,0)</f>
        <v/>
      </c>
      <c r="M78" s="35">
        <f>mech_uptime</f>
        <v/>
      </c>
      <c r="N78" s="35">
        <f>revleg_sel</f>
        <v/>
      </c>
      <c r="O78" s="34">
        <f>ROUND(K78*L78*revleg_sel,0)</f>
        <v/>
      </c>
      <c r="P78" s="36">
        <f>load_sel</f>
        <v/>
      </c>
      <c r="Q78" s="36">
        <f>pax_cap*P78</f>
        <v/>
      </c>
      <c r="R78" s="34">
        <f>Q78*O78</f>
        <v/>
      </c>
      <c r="S78" s="37">
        <f>E78*discount</f>
        <v/>
      </c>
      <c r="T78" s="38">
        <f>S78*R78</f>
        <v/>
      </c>
      <c r="U78" s="38">
        <f>(battery/range_nm)*D78*O78*VLOOKUP(B78,country_opex,3,FALSE)</f>
        <v/>
      </c>
      <c r="V78" s="38">
        <f>VLOOKUP(B78,country_opex,2,FALSE)*crew_factor</f>
        <v/>
      </c>
      <c r="W78" s="38">
        <f>VLOOKUP(B78,country_opex,5,FALSE)</f>
        <v/>
      </c>
      <c r="X78" s="38">
        <f>maint</f>
        <v/>
      </c>
      <c r="Y78" s="38">
        <f>VLOOKUP(B78,country_opex,7,FALSE)*ins_pct</f>
        <v/>
      </c>
      <c r="Z78" s="38">
        <f>charge_berth</f>
        <v/>
      </c>
      <c r="AA78" s="38">
        <f>U78+V78+W78+X78+Y78+Z78</f>
        <v/>
      </c>
      <c r="AB78" s="38">
        <f>VLOOKUP(B78,country_opex,7,FALSE)/dep_years</f>
        <v/>
      </c>
      <c r="AC78" s="38">
        <f>T78-AA78</f>
        <v/>
      </c>
      <c r="AD78" s="35">
        <f>IF(T78=0,"",AC78/T78)</f>
        <v/>
      </c>
      <c r="AE78" s="36">
        <f>IF(AC78&lt;=0,"",VLOOKUP(B78,country_opex,7,FALSE)/AC78)</f>
        <v/>
      </c>
      <c r="AF78" s="33">
        <f>((D78*O78/diesel_nmpg)*diesel_co2pg-(battery/range_nm)*D78*O78*VLOOKUP(B78,country_opex,4,FALSE))/1000</f>
        <v/>
      </c>
      <c r="AG78" s="31" t="n"/>
      <c r="AH78" s="32" t="n"/>
      <c r="AI78" s="32" t="n"/>
      <c r="AJ78" s="39" t="n">
        <v>0.1</v>
      </c>
      <c r="AK78" s="34">
        <f>IF(AG78="","",AG78*AJ78)</f>
        <v/>
      </c>
      <c r="AL78" s="34">
        <f>IF(OR(AG78="",R78=0),"",MIN(IF(AS78="",9.9E+99,AS78),FLOOR(AK78/R78,1)))</f>
        <v/>
      </c>
      <c r="AM78" s="38">
        <f>IF(AL78="","",AL78*T78)</f>
        <v/>
      </c>
      <c r="AN78" s="36">
        <f>IF(OR(AG78="",R78=0),"",MIN(IF(AS78="",9.9E+99,AS78),AK78/R78))</f>
        <v/>
      </c>
      <c r="AO78" s="38">
        <f>IF(AN78="","",AN78*T78)</f>
        <v/>
      </c>
      <c r="AP78" s="40" t="n"/>
      <c r="AQ78" s="41" t="n"/>
      <c r="AR78" s="41" t="n"/>
      <c r="AS78" s="42" t="n"/>
      <c r="AT78" s="43">
        <f>IF(((S78*pax_cap*load_thin*ROUND(K78*L78*revleg_thin,0))-(((battery/range_nm)*D78*ROUND(K78*L78*revleg_thin,0)*VLOOKUP(B78,country_opex,3,FALSE))+V78+W78+X78+Y78+Z78))&lt;=0,"",VLOOKUP(B78,country_opex,7,FALSE)/((S78*pax_cap*load_thin*ROUND(K78*L78*revleg_thin,0))-(((battery/range_nm)*D78*ROUND(K78*L78*revleg_thin,0)*VLOOKUP(B78,country_opex,3,FALSE))+V78+W78+X78+Y78+Z78)))</f>
        <v/>
      </c>
      <c r="AU78" s="43">
        <f>IF(((S78*pax_cap*load_mid*ROUND(K78*L78*revleg_mid,0))-(((battery/range_nm)*D78*ROUND(K78*L78*revleg_mid,0)*VLOOKUP(B78,country_opex,3,FALSE))+V78+W78+X78+Y78+Z78))&lt;=0,"",VLOOKUP(B78,country_opex,7,FALSE)/((S78*pax_cap*load_mid*ROUND(K78*L78*revleg_mid,0))-(((battery/range_nm)*D78*ROUND(K78*L78*revleg_mid,0)*VLOOKUP(B78,country_opex,3,FALSE))+V78+W78+X78+Y78+Z78)))</f>
        <v/>
      </c>
      <c r="AV78" s="43">
        <f>IF(((S78*pax_cap*load_full*ROUND(K78*L78*revleg_full,0))-(((battery/range_nm)*D78*ROUND(K78*L78*revleg_full,0)*VLOOKUP(B78,country_opex,3,FALSE))+V78+W78+X78+Y78+Z78))&lt;=0,"",VLOOKUP(B78,country_opex,7,FALSE)/((S78*pax_cap*load_full*ROUND(K78*L78*revleg_full,0))-(((battery/range_nm)*D78*ROUND(K78*L78*revleg_full,0)*VLOOKUP(B78,country_opex,3,FALSE))+V78+W78+X78+Y78+Z78)))</f>
        <v/>
      </c>
      <c r="AW78" s="44" t="inlineStr">
        <is>
          <t>Ken the Ferryman EUR 10 per person (the operating fare to Dalkey Island). EUR 10 x 1.08 = $10.80.</t>
        </is>
      </c>
      <c r="AX78" s="44" t="n"/>
    </row>
    <row r="79">
      <c r="A79" s="29" t="inlineStr">
        <is>
          <t>Bolt Ireland</t>
        </is>
      </c>
      <c r="B79" s="29" t="inlineStr">
        <is>
          <t>Ireland</t>
        </is>
      </c>
      <c r="C79" s="30" t="inlineStr">
        <is>
          <t>Howth → Ireland's Eye</t>
        </is>
      </c>
      <c r="D79" s="31" t="n">
        <v>1</v>
      </c>
      <c r="E79" s="26" t="n">
        <v>32.4</v>
      </c>
      <c r="F79" s="32" t="inlineStr">
        <is>
          <t>T2</t>
        </is>
      </c>
      <c r="G79" s="32" t="inlineStr">
        <is>
          <t>med</t>
        </is>
      </c>
      <c r="H79" s="19" t="n">
        <v>1</v>
      </c>
      <c r="I79" s="33">
        <f>60*D79/cruise_kt</f>
        <v/>
      </c>
      <c r="J79" s="33">
        <f>I79+turn_min+dwell_min</f>
        <v/>
      </c>
      <c r="K79" s="34">
        <f>MIN(10,FLOOR(60*service_hr/J79,1))</f>
        <v/>
      </c>
      <c r="L79" s="34">
        <f>ROUND(365*mech_uptime*H79,0)</f>
        <v/>
      </c>
      <c r="M79" s="35">
        <f>mech_uptime</f>
        <v/>
      </c>
      <c r="N79" s="35">
        <f>revleg_sel</f>
        <v/>
      </c>
      <c r="O79" s="34">
        <f>ROUND(K79*L79*revleg_sel,0)</f>
        <v/>
      </c>
      <c r="P79" s="36">
        <f>load_sel</f>
        <v/>
      </c>
      <c r="Q79" s="36">
        <f>pax_cap*P79</f>
        <v/>
      </c>
      <c r="R79" s="34">
        <f>Q79*O79</f>
        <v/>
      </c>
      <c r="S79" s="37">
        <f>E79*discount</f>
        <v/>
      </c>
      <c r="T79" s="38">
        <f>S79*R79</f>
        <v/>
      </c>
      <c r="U79" s="38">
        <f>(battery/range_nm)*D79*O79*VLOOKUP(B79,country_opex,3,FALSE)</f>
        <v/>
      </c>
      <c r="V79" s="38">
        <f>VLOOKUP(B79,country_opex,2,FALSE)*crew_factor</f>
        <v/>
      </c>
      <c r="W79" s="38">
        <f>VLOOKUP(B79,country_opex,5,FALSE)</f>
        <v/>
      </c>
      <c r="X79" s="38">
        <f>maint</f>
        <v/>
      </c>
      <c r="Y79" s="38">
        <f>VLOOKUP(B79,country_opex,7,FALSE)*ins_pct</f>
        <v/>
      </c>
      <c r="Z79" s="38">
        <f>charge_berth</f>
        <v/>
      </c>
      <c r="AA79" s="38">
        <f>U79+V79+W79+X79+Y79+Z79</f>
        <v/>
      </c>
      <c r="AB79" s="38">
        <f>VLOOKUP(B79,country_opex,7,FALSE)/dep_years</f>
        <v/>
      </c>
      <c r="AC79" s="38">
        <f>T79-AA79</f>
        <v/>
      </c>
      <c r="AD79" s="35">
        <f>IF(T79=0,"",AC79/T79)</f>
        <v/>
      </c>
      <c r="AE79" s="36">
        <f>IF(AC79&lt;=0,"",VLOOKUP(B79,country_opex,7,FALSE)/AC79)</f>
        <v/>
      </c>
      <c r="AF79" s="33">
        <f>((D79*O79/diesel_nmpg)*diesel_co2pg-(battery/range_nm)*D79*O79*VLOOKUP(B79,country_opex,4,FALSE))/1000</f>
        <v/>
      </c>
      <c r="AG79" s="31" t="n"/>
      <c r="AH79" s="32" t="n"/>
      <c r="AI79" s="32" t="n"/>
      <c r="AJ79" s="39" t="n">
        <v>0.1</v>
      </c>
      <c r="AK79" s="34">
        <f>IF(AG79="","",AG79*AJ79)</f>
        <v/>
      </c>
      <c r="AL79" s="34">
        <f>IF(OR(AG79="",R79=0),"",MIN(IF(AS79="",9.9E+99,AS79),FLOOR(AK79/R79,1)))</f>
        <v/>
      </c>
      <c r="AM79" s="38">
        <f>IF(AL79="","",AL79*T79)</f>
        <v/>
      </c>
      <c r="AN79" s="36">
        <f>IF(OR(AG79="",R79=0),"",MIN(IF(AS79="",9.9E+99,AS79),AK79/R79))</f>
        <v/>
      </c>
      <c r="AO79" s="38">
        <f>IF(AN79="","",AN79*T79)</f>
        <v/>
      </c>
      <c r="AP79" s="40" t="n"/>
      <c r="AQ79" s="41" t="n"/>
      <c r="AR79" s="41" t="n"/>
      <c r="AS79" s="42" t="n"/>
      <c r="AT79" s="43">
        <f>IF(((S79*pax_cap*load_thin*ROUND(K79*L79*revleg_thin,0))-(((battery/range_nm)*D79*ROUND(K79*L79*revleg_thin,0)*VLOOKUP(B79,country_opex,3,FALSE))+V79+W79+X79+Y79+Z79))&lt;=0,"",VLOOKUP(B79,country_opex,7,FALSE)/((S79*pax_cap*load_thin*ROUND(K79*L79*revleg_thin,0))-(((battery/range_nm)*D79*ROUND(K79*L79*revleg_thin,0)*VLOOKUP(B79,country_opex,3,FALSE))+V79+W79+X79+Y79+Z79)))</f>
        <v/>
      </c>
      <c r="AU79" s="43">
        <f>IF(((S79*pax_cap*load_mid*ROUND(K79*L79*revleg_mid,0))-(((battery/range_nm)*D79*ROUND(K79*L79*revleg_mid,0)*VLOOKUP(B79,country_opex,3,FALSE))+V79+W79+X79+Y79+Z79))&lt;=0,"",VLOOKUP(B79,country_opex,7,FALSE)/((S79*pax_cap*load_mid*ROUND(K79*L79*revleg_mid,0))-(((battery/range_nm)*D79*ROUND(K79*L79*revleg_mid,0)*VLOOKUP(B79,country_opex,3,FALSE))+V79+W79+X79+Y79+Z79)))</f>
        <v/>
      </c>
      <c r="AV79" s="43">
        <f>IF(((S79*pax_cap*load_full*ROUND(K79*L79*revleg_full,0))-(((battery/range_nm)*D79*ROUND(K79*L79*revleg_full,0)*VLOOKUP(B79,country_opex,3,FALSE))+V79+W79+X79+Y79+Z79))&lt;=0,"",VLOOKUP(B79,country_opex,7,FALSE)/((S79*pax_cap*load_full*ROUND(K79*L79*revleg_full,0))-(((battery/range_nm)*D79*ROUND(K79*L79*revleg_full,0)*VLOOKUP(B79,country_opex,3,FALSE))+V79+W79+X79+Y79+Z79)))</f>
        <v/>
      </c>
      <c r="AW79" s="44" t="inlineStr">
        <is>
          <t>Ireland's Eye Ferries / Howth Cliff Cruises adult EUR 30 return incl. island landing (the operating product). EUR 30 x 1.08 = $32.40. One-way equivalent ~$16.20.</t>
        </is>
      </c>
      <c r="AX79" s="44" t="n"/>
    </row>
    <row r="80">
      <c r="A80" s="29" t="inlineStr">
        <is>
          <t>Bolt Ireland</t>
        </is>
      </c>
      <c r="B80" s="29" t="inlineStr">
        <is>
          <t>Ireland</t>
        </is>
      </c>
      <c r="C80" s="30" t="inlineStr">
        <is>
          <t>Dublin Docklands → Dún Laoghaire</t>
        </is>
      </c>
      <c r="D80" s="31" t="n">
        <v>6.5</v>
      </c>
      <c r="E80" s="26" t="n">
        <v>32.4</v>
      </c>
      <c r="F80" s="32" t="inlineStr">
        <is>
          <t>T2</t>
        </is>
      </c>
      <c r="G80" s="32" t="inlineStr">
        <is>
          <t>med</t>
        </is>
      </c>
      <c r="H80" s="19" t="n">
        <v>1</v>
      </c>
      <c r="I80" s="33">
        <f>60*D80/cruise_kt</f>
        <v/>
      </c>
      <c r="J80" s="33">
        <f>I80+turn_min+dwell_min</f>
        <v/>
      </c>
      <c r="K80" s="34">
        <f>MIN(16,FLOOR(60*service_hr/J80,1))</f>
        <v/>
      </c>
      <c r="L80" s="34">
        <f>ROUND(365*mech_uptime*H80,0)</f>
        <v/>
      </c>
      <c r="M80" s="35">
        <f>mech_uptime</f>
        <v/>
      </c>
      <c r="N80" s="35">
        <f>revleg_sel</f>
        <v/>
      </c>
      <c r="O80" s="34">
        <f>ROUND(K80*L80*revleg_sel,0)</f>
        <v/>
      </c>
      <c r="P80" s="36">
        <f>load_sel</f>
        <v/>
      </c>
      <c r="Q80" s="36">
        <f>pax_cap*P80</f>
        <v/>
      </c>
      <c r="R80" s="34">
        <f>Q80*O80</f>
        <v/>
      </c>
      <c r="S80" s="37">
        <f>E80*discount</f>
        <v/>
      </c>
      <c r="T80" s="38">
        <f>S80*R80</f>
        <v/>
      </c>
      <c r="U80" s="38">
        <f>(battery/range_nm)*D80*O80*VLOOKUP(B80,country_opex,3,FALSE)</f>
        <v/>
      </c>
      <c r="V80" s="38">
        <f>VLOOKUP(B80,country_opex,2,FALSE)*crew_factor</f>
        <v/>
      </c>
      <c r="W80" s="38">
        <f>VLOOKUP(B80,country_opex,5,FALSE)</f>
        <v/>
      </c>
      <c r="X80" s="38">
        <f>maint</f>
        <v/>
      </c>
      <c r="Y80" s="38">
        <f>VLOOKUP(B80,country_opex,7,FALSE)*ins_pct</f>
        <v/>
      </c>
      <c r="Z80" s="38">
        <f>charge_berth</f>
        <v/>
      </c>
      <c r="AA80" s="38">
        <f>U80+V80+W80+X80+Y80+Z80</f>
        <v/>
      </c>
      <c r="AB80" s="38">
        <f>VLOOKUP(B80,country_opex,7,FALSE)/dep_years</f>
        <v/>
      </c>
      <c r="AC80" s="38">
        <f>T80-AA80</f>
        <v/>
      </c>
      <c r="AD80" s="35">
        <f>IF(T80=0,"",AC80/T80)</f>
        <v/>
      </c>
      <c r="AE80" s="36">
        <f>IF(AC80&lt;=0,"",VLOOKUP(B80,country_opex,7,FALSE)/AC80)</f>
        <v/>
      </c>
      <c r="AF80" s="33">
        <f>((D80*O80/diesel_nmpg)*diesel_co2pg-(battery/range_nm)*D80*O80*VLOOKUP(B80,country_opex,4,FALSE))/1000</f>
        <v/>
      </c>
      <c r="AG80" s="31" t="n">
        <v>50000</v>
      </c>
      <c r="AH80" s="32" t="n"/>
      <c r="AI80" s="32" t="n"/>
      <c r="AJ80" s="39" t="n">
        <v>0.1</v>
      </c>
      <c r="AK80" s="34">
        <f>IF(AG80="","",AG80*AJ80)</f>
        <v/>
      </c>
      <c r="AL80" s="34">
        <f>IF(OR(AG80="",R80=0),"",MIN(IF(AS80="",9.9E+99,AS80),FLOOR(AK80/R80,1)))</f>
        <v/>
      </c>
      <c r="AM80" s="38">
        <f>IF(AL80="","",AL80*T80)</f>
        <v/>
      </c>
      <c r="AN80" s="36">
        <f>IF(OR(AG80="",R80=0),"",MIN(IF(AS80="",9.9E+99,AS80),AK80/R80))</f>
        <v/>
      </c>
      <c r="AO80" s="38">
        <f>IF(AN80="","",AN80*T80)</f>
        <v/>
      </c>
      <c r="AP80" s="40" t="n"/>
      <c r="AQ80" s="41" t="n"/>
      <c r="AR80" s="41" t="n"/>
      <c r="AS80" s="42" t="n"/>
      <c r="AT80" s="43">
        <f>IF(((S80*pax_cap*load_thin*ROUND(K80*L80*revleg_thin,0))-(((battery/range_nm)*D80*ROUND(K80*L80*revleg_thin,0)*VLOOKUP(B80,country_opex,3,FALSE))+V80+W80+X80+Y80+Z80))&lt;=0,"",VLOOKUP(B80,country_opex,7,FALSE)/((S80*pax_cap*load_thin*ROUND(K80*L80*revleg_thin,0))-(((battery/range_nm)*D80*ROUND(K80*L80*revleg_thin,0)*VLOOKUP(B80,country_opex,3,FALSE))+V80+W80+X80+Y80+Z80)))</f>
        <v/>
      </c>
      <c r="AU80" s="43">
        <f>IF(((S80*pax_cap*load_mid*ROUND(K80*L80*revleg_mid,0))-(((battery/range_nm)*D80*ROUND(K80*L80*revleg_mid,0)*VLOOKUP(B80,country_opex,3,FALSE))+V80+W80+X80+Y80+Z80))&lt;=0,"",VLOOKUP(B80,country_opex,7,FALSE)/((S80*pax_cap*load_mid*ROUND(K80*L80*revleg_mid,0))-(((battery/range_nm)*D80*ROUND(K80*L80*revleg_mid,0)*VLOOKUP(B80,country_opex,3,FALSE))+V80+W80+X80+Y80+Z80)))</f>
        <v/>
      </c>
      <c r="AV80" s="43">
        <f>IF(((S80*pax_cap*load_full*ROUND(K80*L80*revleg_full,0))-(((battery/range_nm)*D80*ROUND(K80*L80*revleg_full,0)*VLOOKUP(B80,country_opex,3,FALSE))+V80+W80+X80+Y80+Z80))&lt;=0,"",VLOOKUP(B80,country_opex,7,FALSE)/((S80*pax_cap*load_full*ROUND(K80*L80*revleg_full,0))-(((battery/range_nm)*D80*ROUND(K80*L80*revleg_full,0)*VLOOKUP(B80,country_opex,3,FALSE))+V80+W80+X80+Y80+Z80)))</f>
        <v/>
      </c>
      <c r="AW80" s="44" t="inlineStr">
        <is>
          <t>Dublin Bay Cruises one-way leisure seat Dublin City-&gt;Dun Laoghaire EUR 30 (premium scheduled water tier; the reverse Dun Laoghaire-&gt;Dublin City morning leg is EUR 15). EUR 30 x 1.08 = $32.40.</t>
        </is>
      </c>
      <c r="AX80" s="44" t="n"/>
    </row>
    <row r="81">
      <c r="A81" s="29" t="inlineStr">
        <is>
          <t>Bolt Ireland</t>
        </is>
      </c>
      <c r="B81" s="29" t="inlineStr">
        <is>
          <t>Ireland</t>
        </is>
      </c>
      <c r="C81" s="30" t="inlineStr">
        <is>
          <t>Dublin City (Docklands) → Howth</t>
        </is>
      </c>
      <c r="D81" s="31" t="n">
        <v>7</v>
      </c>
      <c r="E81" s="26" t="n">
        <v>43.2</v>
      </c>
      <c r="F81" s="32" t="inlineStr">
        <is>
          <t>T2</t>
        </is>
      </c>
      <c r="G81" s="32" t="inlineStr">
        <is>
          <t>med</t>
        </is>
      </c>
      <c r="H81" s="19" t="n">
        <v>1</v>
      </c>
      <c r="I81" s="33">
        <f>60*D81/cruise_kt</f>
        <v/>
      </c>
      <c r="J81" s="33">
        <f>I81+turn_min+dwell_min</f>
        <v/>
      </c>
      <c r="K81" s="34">
        <f>MIN(16,FLOOR(60*service_hr/J81,1))</f>
        <v/>
      </c>
      <c r="L81" s="34">
        <f>ROUND(365*mech_uptime*H81,0)</f>
        <v/>
      </c>
      <c r="M81" s="35">
        <f>mech_uptime</f>
        <v/>
      </c>
      <c r="N81" s="35">
        <f>revleg_sel</f>
        <v/>
      </c>
      <c r="O81" s="34">
        <f>ROUND(K81*L81*revleg_sel,0)</f>
        <v/>
      </c>
      <c r="P81" s="36">
        <f>load_sel</f>
        <v/>
      </c>
      <c r="Q81" s="36">
        <f>pax_cap*P81</f>
        <v/>
      </c>
      <c r="R81" s="34">
        <f>Q81*O81</f>
        <v/>
      </c>
      <c r="S81" s="37">
        <f>E81*discount</f>
        <v/>
      </c>
      <c r="T81" s="38">
        <f>S81*R81</f>
        <v/>
      </c>
      <c r="U81" s="38">
        <f>(battery/range_nm)*D81*O81*VLOOKUP(B81,country_opex,3,FALSE)</f>
        <v/>
      </c>
      <c r="V81" s="38">
        <f>VLOOKUP(B81,country_opex,2,FALSE)*crew_factor</f>
        <v/>
      </c>
      <c r="W81" s="38">
        <f>VLOOKUP(B81,country_opex,5,FALSE)</f>
        <v/>
      </c>
      <c r="X81" s="38">
        <f>maint</f>
        <v/>
      </c>
      <c r="Y81" s="38">
        <f>VLOOKUP(B81,country_opex,7,FALSE)*ins_pct</f>
        <v/>
      </c>
      <c r="Z81" s="38">
        <f>charge_berth</f>
        <v/>
      </c>
      <c r="AA81" s="38">
        <f>U81+V81+W81+X81+Y81+Z81</f>
        <v/>
      </c>
      <c r="AB81" s="38">
        <f>VLOOKUP(B81,country_opex,7,FALSE)/dep_years</f>
        <v/>
      </c>
      <c r="AC81" s="38">
        <f>T81-AA81</f>
        <v/>
      </c>
      <c r="AD81" s="35">
        <f>IF(T81=0,"",AC81/T81)</f>
        <v/>
      </c>
      <c r="AE81" s="36">
        <f>IF(AC81&lt;=0,"",VLOOKUP(B81,country_opex,7,FALSE)/AC81)</f>
        <v/>
      </c>
      <c r="AF81" s="33">
        <f>((D81*O81/diesel_nmpg)*diesel_co2pg-(battery/range_nm)*D81*O81*VLOOKUP(B81,country_opex,4,FALSE))/1000</f>
        <v/>
      </c>
      <c r="AG81" s="31" t="n">
        <v>46800</v>
      </c>
      <c r="AH81" s="32" t="n"/>
      <c r="AI81" s="32" t="n"/>
      <c r="AJ81" s="39" t="n">
        <v>0.1</v>
      </c>
      <c r="AK81" s="34">
        <f>IF(AG81="","",AG81*AJ81)</f>
        <v/>
      </c>
      <c r="AL81" s="34">
        <f>IF(OR(AG81="",R81=0),"",MIN(IF(AS81="",9.9E+99,AS81),FLOOR(AK81/R81,1)))</f>
        <v/>
      </c>
      <c r="AM81" s="38">
        <f>IF(AL81="","",AL81*T81)</f>
        <v/>
      </c>
      <c r="AN81" s="36">
        <f>IF(OR(AG81="",R81=0),"",MIN(IF(AS81="",9.9E+99,AS81),AK81/R81))</f>
        <v/>
      </c>
      <c r="AO81" s="38">
        <f>IF(AN81="","",AN81*T81)</f>
        <v/>
      </c>
      <c r="AP81" s="40" t="n"/>
      <c r="AQ81" s="41" t="n"/>
      <c r="AR81" s="41" t="n"/>
      <c r="AS81" s="42" t="n"/>
      <c r="AT81" s="43">
        <f>IF(((S81*pax_cap*load_thin*ROUND(K81*L81*revleg_thin,0))-(((battery/range_nm)*D81*ROUND(K81*L81*revleg_thin,0)*VLOOKUP(B81,country_opex,3,FALSE))+V81+W81+X81+Y81+Z81))&lt;=0,"",VLOOKUP(B81,country_opex,7,FALSE)/((S81*pax_cap*load_thin*ROUND(K81*L81*revleg_thin,0))-(((battery/range_nm)*D81*ROUND(K81*L81*revleg_thin,0)*VLOOKUP(B81,country_opex,3,FALSE))+V81+W81+X81+Y81+Z81)))</f>
        <v/>
      </c>
      <c r="AU81" s="43">
        <f>IF(((S81*pax_cap*load_mid*ROUND(K81*L81*revleg_mid,0))-(((battery/range_nm)*D81*ROUND(K81*L81*revleg_mid,0)*VLOOKUP(B81,country_opex,3,FALSE))+V81+W81+X81+Y81+Z81))&lt;=0,"",VLOOKUP(B81,country_opex,7,FALSE)/((S81*pax_cap*load_mid*ROUND(K81*L81*revleg_mid,0))-(((battery/range_nm)*D81*ROUND(K81*L81*revleg_mid,0)*VLOOKUP(B81,country_opex,3,FALSE))+V81+W81+X81+Y81+Z81)))</f>
        <v/>
      </c>
      <c r="AV81" s="43">
        <f>IF(((S81*pax_cap*load_full*ROUND(K81*L81*revleg_full,0))-(((battery/range_nm)*D81*ROUND(K81*L81*revleg_full,0)*VLOOKUP(B81,country_opex,3,FALSE))+V81+W81+X81+Y81+Z81))&lt;=0,"",VLOOKUP(B81,country_opex,7,FALSE)/((S81*pax_cap*load_full*ROUND(K81*L81*revleg_full,0))-(((battery/range_nm)*D81*ROUND(K81*L81*revleg_full,0)*VLOOKUP(B81,country_opex,3,FALSE))+V81+W81+X81+Y81+Z81)))</f>
        <v/>
      </c>
      <c r="AW81" s="44" t="inlineStr">
        <is>
          <t>Dublin Bay Cruises one-way Dublin City-&gt;Howth (via Dun Laoghaire) EUR 40 (premium scheduled water tier). EUR 40 x 1.08 = $43.20.</t>
        </is>
      </c>
      <c r="AX81" s="44" t="n"/>
    </row>
    <row r="82">
      <c r="A82" s="29" t="inlineStr">
        <is>
          <t>Bolt Ireland</t>
        </is>
      </c>
      <c r="B82" s="29" t="inlineStr">
        <is>
          <t>Ireland</t>
        </is>
      </c>
      <c r="C82" s="30" t="inlineStr">
        <is>
          <t>Dun Laoghaire → Howth</t>
        </is>
      </c>
      <c r="D82" s="31" t="n">
        <v>7</v>
      </c>
      <c r="E82" s="26" t="n">
        <v>30.24</v>
      </c>
      <c r="F82" s="32" t="inlineStr">
        <is>
          <t>T2</t>
        </is>
      </c>
      <c r="G82" s="32" t="inlineStr">
        <is>
          <t>med</t>
        </is>
      </c>
      <c r="H82" s="19" t="n">
        <v>1</v>
      </c>
      <c r="I82" s="33">
        <f>60*D82/cruise_kt</f>
        <v/>
      </c>
      <c r="J82" s="33">
        <f>I82+turn_min+dwell_min</f>
        <v/>
      </c>
      <c r="K82" s="34">
        <f>MIN(16,FLOOR(60*service_hr/J82,1))</f>
        <v/>
      </c>
      <c r="L82" s="34">
        <f>ROUND(365*mech_uptime*H82,0)</f>
        <v/>
      </c>
      <c r="M82" s="35">
        <f>mech_uptime</f>
        <v/>
      </c>
      <c r="N82" s="35">
        <f>revleg_sel</f>
        <v/>
      </c>
      <c r="O82" s="34">
        <f>ROUND(K82*L82*revleg_sel,0)</f>
        <v/>
      </c>
      <c r="P82" s="36">
        <f>load_sel</f>
        <v/>
      </c>
      <c r="Q82" s="36">
        <f>pax_cap*P82</f>
        <v/>
      </c>
      <c r="R82" s="34">
        <f>Q82*O82</f>
        <v/>
      </c>
      <c r="S82" s="37">
        <f>E82*discount</f>
        <v/>
      </c>
      <c r="T82" s="38">
        <f>S82*R82</f>
        <v/>
      </c>
      <c r="U82" s="38">
        <f>(battery/range_nm)*D82*O82*VLOOKUP(B82,country_opex,3,FALSE)</f>
        <v/>
      </c>
      <c r="V82" s="38">
        <f>VLOOKUP(B82,country_opex,2,FALSE)*crew_factor</f>
        <v/>
      </c>
      <c r="W82" s="38">
        <f>VLOOKUP(B82,country_opex,5,FALSE)</f>
        <v/>
      </c>
      <c r="X82" s="38">
        <f>maint</f>
        <v/>
      </c>
      <c r="Y82" s="38">
        <f>VLOOKUP(B82,country_opex,7,FALSE)*ins_pct</f>
        <v/>
      </c>
      <c r="Z82" s="38">
        <f>charge_berth</f>
        <v/>
      </c>
      <c r="AA82" s="38">
        <f>U82+V82+W82+X82+Y82+Z82</f>
        <v/>
      </c>
      <c r="AB82" s="38">
        <f>VLOOKUP(B82,country_opex,7,FALSE)/dep_years</f>
        <v/>
      </c>
      <c r="AC82" s="38">
        <f>T82-AA82</f>
        <v/>
      </c>
      <c r="AD82" s="35">
        <f>IF(T82=0,"",AC82/T82)</f>
        <v/>
      </c>
      <c r="AE82" s="36">
        <f>IF(AC82&lt;=0,"",VLOOKUP(B82,country_opex,7,FALSE)/AC82)</f>
        <v/>
      </c>
      <c r="AF82" s="33">
        <f>((D82*O82/diesel_nmpg)*diesel_co2pg-(battery/range_nm)*D82*O82*VLOOKUP(B82,country_opex,4,FALSE))/1000</f>
        <v/>
      </c>
      <c r="AG82" s="31" t="n"/>
      <c r="AH82" s="32" t="n"/>
      <c r="AI82" s="32" t="n"/>
      <c r="AJ82" s="39" t="n">
        <v>0.1</v>
      </c>
      <c r="AK82" s="34">
        <f>IF(AG82="","",AG82*AJ82)</f>
        <v/>
      </c>
      <c r="AL82" s="34">
        <f>IF(OR(AG82="",R82=0),"",MIN(IF(AS82="",9.9E+99,AS82),FLOOR(AK82/R82,1)))</f>
        <v/>
      </c>
      <c r="AM82" s="38">
        <f>IF(AL82="","",AL82*T82)</f>
        <v/>
      </c>
      <c r="AN82" s="36">
        <f>IF(OR(AG82="",R82=0),"",MIN(IF(AS82="",9.9E+99,AS82),AK82/R82))</f>
        <v/>
      </c>
      <c r="AO82" s="38">
        <f>IF(AN82="","",AN82*T82)</f>
        <v/>
      </c>
      <c r="AP82" s="40" t="n"/>
      <c r="AQ82" s="41" t="n"/>
      <c r="AR82" s="41" t="n"/>
      <c r="AS82" s="42" t="n"/>
      <c r="AT82" s="43">
        <f>IF(((S82*pax_cap*load_thin*ROUND(K82*L82*revleg_thin,0))-(((battery/range_nm)*D82*ROUND(K82*L82*revleg_thin,0)*VLOOKUP(B82,country_opex,3,FALSE))+V82+W82+X82+Y82+Z82))&lt;=0,"",VLOOKUP(B82,country_opex,7,FALSE)/((S82*pax_cap*load_thin*ROUND(K82*L82*revleg_thin,0))-(((battery/range_nm)*D82*ROUND(K82*L82*revleg_thin,0)*VLOOKUP(B82,country_opex,3,FALSE))+V82+W82+X82+Y82+Z82)))</f>
        <v/>
      </c>
      <c r="AU82" s="43">
        <f>IF(((S82*pax_cap*load_mid*ROUND(K82*L82*revleg_mid,0))-(((battery/range_nm)*D82*ROUND(K82*L82*revleg_mid,0)*VLOOKUP(B82,country_opex,3,FALSE))+V82+W82+X82+Y82+Z82))&lt;=0,"",VLOOKUP(B82,country_opex,7,FALSE)/((S82*pax_cap*load_mid*ROUND(K82*L82*revleg_mid,0))-(((battery/range_nm)*D82*ROUND(K82*L82*revleg_mid,0)*VLOOKUP(B82,country_opex,3,FALSE))+V82+W82+X82+Y82+Z82)))</f>
        <v/>
      </c>
      <c r="AV82" s="43">
        <f>IF(((S82*pax_cap*load_full*ROUND(K82*L82*revleg_full,0))-(((battery/range_nm)*D82*ROUND(K82*L82*revleg_full,0)*VLOOKUP(B82,country_opex,3,FALSE))+V82+W82+X82+Y82+Z82))&lt;=0,"",VLOOKUP(B82,country_opex,7,FALSE)/((S82*pax_cap*load_full*ROUND(K82*L82*revleg_full,0))-(((battery/range_nm)*D82*ROUND(K82*L82*revleg_full,0)*VLOOKUP(B82,country_opex,3,FALSE))+V82+W82+X82+Y82+Z82)))</f>
        <v/>
      </c>
      <c r="AW82" s="44" t="inlineStr">
        <is>
          <t>Dublin Bay Cruises one-way Dun Laoghaire&lt;-&gt;Howth EUR 28 per seat (scheduled scenic water tier). EUR 28 x 1.08 = $30.24.</t>
        </is>
      </c>
      <c r="AX82" s="44" t="n"/>
    </row>
    <row r="83">
      <c r="A83" s="29" t="inlineStr">
        <is>
          <t>Bolt Ireland</t>
        </is>
      </c>
      <c r="B83" s="29" t="inlineStr">
        <is>
          <t>Ireland</t>
        </is>
      </c>
      <c r="C83" s="30" t="inlineStr">
        <is>
          <t>Dublin City (Docklands) → Dalkey / Killiney</t>
        </is>
      </c>
      <c r="D83" s="31" t="n">
        <v>9</v>
      </c>
      <c r="E83" s="26" t="n">
        <v>32.4</v>
      </c>
      <c r="F83" s="32" t="inlineStr">
        <is>
          <t>T2</t>
        </is>
      </c>
      <c r="G83" s="32" t="inlineStr">
        <is>
          <t>med</t>
        </is>
      </c>
      <c r="H83" s="19" t="n">
        <v>1</v>
      </c>
      <c r="I83" s="33">
        <f>60*D83/cruise_kt</f>
        <v/>
      </c>
      <c r="J83" s="33">
        <f>I83+turn_min+dwell_min</f>
        <v/>
      </c>
      <c r="K83" s="34">
        <f>MIN(16,FLOOR(60*service_hr/J83,1))</f>
        <v/>
      </c>
      <c r="L83" s="34">
        <f>ROUND(365*mech_uptime*H83,0)</f>
        <v/>
      </c>
      <c r="M83" s="35">
        <f>mech_uptime</f>
        <v/>
      </c>
      <c r="N83" s="35">
        <f>revleg_sel</f>
        <v/>
      </c>
      <c r="O83" s="34">
        <f>ROUND(K83*L83*revleg_sel,0)</f>
        <v/>
      </c>
      <c r="P83" s="36">
        <f>load_sel</f>
        <v/>
      </c>
      <c r="Q83" s="36">
        <f>pax_cap*P83</f>
        <v/>
      </c>
      <c r="R83" s="34">
        <f>Q83*O83</f>
        <v/>
      </c>
      <c r="S83" s="37">
        <f>E83*discount</f>
        <v/>
      </c>
      <c r="T83" s="38">
        <f>S83*R83</f>
        <v/>
      </c>
      <c r="U83" s="38">
        <f>(battery/range_nm)*D83*O83*VLOOKUP(B83,country_opex,3,FALSE)</f>
        <v/>
      </c>
      <c r="V83" s="38">
        <f>VLOOKUP(B83,country_opex,2,FALSE)*crew_factor</f>
        <v/>
      </c>
      <c r="W83" s="38">
        <f>VLOOKUP(B83,country_opex,5,FALSE)</f>
        <v/>
      </c>
      <c r="X83" s="38">
        <f>maint</f>
        <v/>
      </c>
      <c r="Y83" s="38">
        <f>VLOOKUP(B83,country_opex,7,FALSE)*ins_pct</f>
        <v/>
      </c>
      <c r="Z83" s="38">
        <f>charge_berth</f>
        <v/>
      </c>
      <c r="AA83" s="38">
        <f>U83+V83+W83+X83+Y83+Z83</f>
        <v/>
      </c>
      <c r="AB83" s="38">
        <f>VLOOKUP(B83,country_opex,7,FALSE)/dep_years</f>
        <v/>
      </c>
      <c r="AC83" s="38">
        <f>T83-AA83</f>
        <v/>
      </c>
      <c r="AD83" s="35">
        <f>IF(T83=0,"",AC83/T83)</f>
        <v/>
      </c>
      <c r="AE83" s="36">
        <f>IF(AC83&lt;=0,"",VLOOKUP(B83,country_opex,7,FALSE)/AC83)</f>
        <v/>
      </c>
      <c r="AF83" s="33">
        <f>((D83*O83/diesel_nmpg)*diesel_co2pg-(battery/range_nm)*D83*O83*VLOOKUP(B83,country_opex,4,FALSE))/1000</f>
        <v/>
      </c>
      <c r="AG83" s="31" t="n"/>
      <c r="AH83" s="32" t="n"/>
      <c r="AI83" s="32" t="n"/>
      <c r="AJ83" s="39" t="n">
        <v>0.1</v>
      </c>
      <c r="AK83" s="34">
        <f>IF(AG83="","",AG83*AJ83)</f>
        <v/>
      </c>
      <c r="AL83" s="34">
        <f>IF(OR(AG83="",R83=0),"",MIN(IF(AS83="",9.9E+99,AS83),FLOOR(AK83/R83,1)))</f>
        <v/>
      </c>
      <c r="AM83" s="38">
        <f>IF(AL83="","",AL83*T83)</f>
        <v/>
      </c>
      <c r="AN83" s="36">
        <f>IF(OR(AG83="",R83=0),"",MIN(IF(AS83="",9.9E+99,AS83),AK83/R83))</f>
        <v/>
      </c>
      <c r="AO83" s="38">
        <f>IF(AN83="","",AN83*T83)</f>
        <v/>
      </c>
      <c r="AP83" s="40" t="n"/>
      <c r="AQ83" s="41" t="n"/>
      <c r="AR83" s="41" t="n"/>
      <c r="AS83" s="42" t="n"/>
      <c r="AT83" s="43">
        <f>IF(((S83*pax_cap*load_thin*ROUND(K83*L83*revleg_thin,0))-(((battery/range_nm)*D83*ROUND(K83*L83*revleg_thin,0)*VLOOKUP(B83,country_opex,3,FALSE))+V83+W83+X83+Y83+Z83))&lt;=0,"",VLOOKUP(B83,country_opex,7,FALSE)/((S83*pax_cap*load_thin*ROUND(K83*L83*revleg_thin,0))-(((battery/range_nm)*D83*ROUND(K83*L83*revleg_thin,0)*VLOOKUP(B83,country_opex,3,FALSE))+V83+W83+X83+Y83+Z83)))</f>
        <v/>
      </c>
      <c r="AU83" s="43">
        <f>IF(((S83*pax_cap*load_mid*ROUND(K83*L83*revleg_mid,0))-(((battery/range_nm)*D83*ROUND(K83*L83*revleg_mid,0)*VLOOKUP(B83,country_opex,3,FALSE))+V83+W83+X83+Y83+Z83))&lt;=0,"",VLOOKUP(B83,country_opex,7,FALSE)/((S83*pax_cap*load_mid*ROUND(K83*L83*revleg_mid,0))-(((battery/range_nm)*D83*ROUND(K83*L83*revleg_mid,0)*VLOOKUP(B83,country_opex,3,FALSE))+V83+W83+X83+Y83+Z83)))</f>
        <v/>
      </c>
      <c r="AV83" s="43">
        <f>IF(((S83*pax_cap*load_full*ROUND(K83*L83*revleg_full,0))-(((battery/range_nm)*D83*ROUND(K83*L83*revleg_full,0)*VLOOKUP(B83,country_opex,3,FALSE))+V83+W83+X83+Y83+Z83))&lt;=0,"",VLOOKUP(B83,country_opex,7,FALSE)/((S83*pax_cap*load_full*ROUND(K83*L83*revleg_full,0))-(((battery/range_nm)*D83*ROUND(K83*L83*revleg_full,0)*VLOOKUP(B83,country_opex,3,FALSE))+V83+W83+X83+Y83+Z83)))</f>
        <v/>
      </c>
      <c r="AW83" s="44" t="inlineStr">
        <is>
          <t>PROXY: no direct scheduled water service Dublin City-&gt;Dalkey today; using the Dublin Bay Cruises southern-leg leisure seat ~EUR 30 (comparable distance/scenic premium) as the per-seat anchor. EUR 30 x 1.08 = $32.40. Flagged as a proxy, not a directly-quoted Dalkey fare.</t>
        </is>
      </c>
      <c r="AX83" s="44" t="n"/>
    </row>
    <row r="84">
      <c r="A84" s="29" t="inlineStr">
        <is>
          <t>Bolt Ireland</t>
        </is>
      </c>
      <c r="B84" s="29" t="inlineStr">
        <is>
          <t>Ireland</t>
        </is>
      </c>
      <c r="C84" s="30" t="inlineStr">
        <is>
          <t>Dublin Port → Holyhead (Wales)</t>
        </is>
      </c>
      <c r="D84" s="31" t="n">
        <v>67</v>
      </c>
      <c r="E84" s="26" t="n">
        <v>48.6</v>
      </c>
      <c r="F84" s="32" t="inlineStr">
        <is>
          <t>T2</t>
        </is>
      </c>
      <c r="G84" s="32" t="inlineStr">
        <is>
          <t>med</t>
        </is>
      </c>
      <c r="H84" s="19" t="n">
        <v>1</v>
      </c>
      <c r="I84" s="33">
        <f>60*D84/cruise_kt</f>
        <v/>
      </c>
      <c r="J84" s="33">
        <f>I84+turn_min+dwell_min</f>
        <v/>
      </c>
      <c r="K84" s="34">
        <f>MIN(10,FLOOR(60*service_hr/J84,1))</f>
        <v/>
      </c>
      <c r="L84" s="34">
        <f>ROUND(365*mech_uptime*H84,0)</f>
        <v/>
      </c>
      <c r="M84" s="35">
        <f>mech_uptime</f>
        <v/>
      </c>
      <c r="N84" s="35">
        <f>revleg_sel</f>
        <v/>
      </c>
      <c r="O84" s="34">
        <f>ROUND(K84*L84*revleg_sel,0)</f>
        <v/>
      </c>
      <c r="P84" s="36">
        <f>load_sel</f>
        <v/>
      </c>
      <c r="Q84" s="36">
        <f>pax_cap*P84</f>
        <v/>
      </c>
      <c r="R84" s="34">
        <f>Q84*O84</f>
        <v/>
      </c>
      <c r="S84" s="37">
        <f>E84*discount</f>
        <v/>
      </c>
      <c r="T84" s="38">
        <f>S84*R84</f>
        <v/>
      </c>
      <c r="U84" s="38">
        <f>(battery/range_nm)*D84*O84*VLOOKUP(B84,country_opex,3,FALSE)</f>
        <v/>
      </c>
      <c r="V84" s="38">
        <f>VLOOKUP(B84,country_opex,2,FALSE)*crew_factor</f>
        <v/>
      </c>
      <c r="W84" s="38">
        <f>VLOOKUP(B84,country_opex,5,FALSE)</f>
        <v/>
      </c>
      <c r="X84" s="38">
        <f>maint</f>
        <v/>
      </c>
      <c r="Y84" s="38">
        <f>VLOOKUP(B84,country_opex,7,FALSE)*ins_pct</f>
        <v/>
      </c>
      <c r="Z84" s="38">
        <f>charge_berth</f>
        <v/>
      </c>
      <c r="AA84" s="38">
        <f>U84+V84+W84+X84+Y84+Z84</f>
        <v/>
      </c>
      <c r="AB84" s="38">
        <f>VLOOKUP(B84,country_opex,7,FALSE)/dep_years</f>
        <v/>
      </c>
      <c r="AC84" s="38">
        <f>T84-AA84</f>
        <v/>
      </c>
      <c r="AD84" s="35">
        <f>IF(T84=0,"",AC84/T84)</f>
        <v/>
      </c>
      <c r="AE84" s="36">
        <f>IF(AC84&lt;=0,"",VLOOKUP(B84,country_opex,7,FALSE)/AC84)</f>
        <v/>
      </c>
      <c r="AF84" s="33">
        <f>((D84*O84/diesel_nmpg)*diesel_co2pg-(battery/range_nm)*D84*O84*VLOOKUP(B84,country_opex,4,FALSE))/1000</f>
        <v/>
      </c>
      <c r="AG84" s="31" t="n"/>
      <c r="AH84" s="32" t="n"/>
      <c r="AI84" s="32" t="n"/>
      <c r="AJ84" s="39" t="n">
        <v>0.1</v>
      </c>
      <c r="AK84" s="34">
        <f>IF(AG84="","",AG84*AJ84)</f>
        <v/>
      </c>
      <c r="AL84" s="34">
        <f>IF(OR(AG84="",R84=0),"",MIN(IF(AS84="",9.9E+99,AS84),FLOOR(AK84/R84,1)))</f>
        <v/>
      </c>
      <c r="AM84" s="38">
        <f>IF(AL84="","",AL84*T84)</f>
        <v/>
      </c>
      <c r="AN84" s="36">
        <f>IF(OR(AG84="",R84=0),"",MIN(IF(AS84="",9.9E+99,AS84),AK84/R84))</f>
        <v/>
      </c>
      <c r="AO84" s="38">
        <f>IF(AN84="","",AN84*T84)</f>
        <v/>
      </c>
      <c r="AP84" s="40" t="n"/>
      <c r="AQ84" s="41" t="n"/>
      <c r="AR84" s="41" t="n"/>
      <c r="AS84" s="42" t="n"/>
      <c r="AT84" s="43">
        <f>IF(((S84*pax_cap*load_thin*ROUND(K84*L84*revleg_thin,0))-(((battery/range_nm)*D84*ROUND(K84*L84*revleg_thin,0)*VLOOKUP(B84,country_opex,3,FALSE))+V84+W84+X84+Y84+Z84))&lt;=0,"",VLOOKUP(B84,country_opex,7,FALSE)/((S84*pax_cap*load_thin*ROUND(K84*L84*revleg_thin,0))-(((battery/range_nm)*D84*ROUND(K84*L84*revleg_thin,0)*VLOOKUP(B84,country_opex,3,FALSE))+V84+W84+X84+Y84+Z84)))</f>
        <v/>
      </c>
      <c r="AU84" s="43">
        <f>IF(((S84*pax_cap*load_mid*ROUND(K84*L84*revleg_mid,0))-(((battery/range_nm)*D84*ROUND(K84*L84*revleg_mid,0)*VLOOKUP(B84,country_opex,3,FALSE))+V84+W84+X84+Y84+Z84))&lt;=0,"",VLOOKUP(B84,country_opex,7,FALSE)/((S84*pax_cap*load_mid*ROUND(K84*L84*revleg_mid,0))-(((battery/range_nm)*D84*ROUND(K84*L84*revleg_mid,0)*VLOOKUP(B84,country_opex,3,FALSE))+V84+W84+X84+Y84+Z84)))</f>
        <v/>
      </c>
      <c r="AV84" s="43">
        <f>IF(((S84*pax_cap*load_full*ROUND(K84*L84*revleg_full,0))-(((battery/range_nm)*D84*ROUND(K84*L84*revleg_full,0)*VLOOKUP(B84,country_opex,3,FALSE))+V84+W84+X84+Y84+Z84))&lt;=0,"",VLOOKUP(B84,country_opex,7,FALSE)/((S84*pax_cap*load_full*ROUND(K84*L84*revleg_full,0))-(((battery/range_nm)*D84*ROUND(K84*L84*revleg_full,0)*VLOOKUP(B84,country_opex,3,FALSE))+V84+W84+X84+Y84+Z84)))</f>
        <v/>
      </c>
      <c r="AW84" s="44" t="inlineStr">
        <is>
          <t>Foot-passenger one-way fare from ~EUR 42-45 (Stena Line / Irish Ferries, Dublin&lt;-&gt;Holyhead; Direct Ferries quotes 'from ~$42'). Using ~EUR 45 x 1.08 = $48.60. Premium/Club lounge tiers run higher.</t>
        </is>
      </c>
      <c r="AX84" s="44" t="n"/>
    </row>
    <row r="85">
      <c r="A85" s="29" t="inlineStr">
        <is>
          <t>Bolt Israel</t>
        </is>
      </c>
      <c r="B85" s="29" t="inlineStr">
        <is>
          <t>Israel</t>
        </is>
      </c>
      <c r="C85" s="30" t="inlineStr">
        <is>
          <t>Tel Aviv → Jaffa (Old Jaffa Port)</t>
        </is>
      </c>
      <c r="D85" s="31" t="n">
        <v>2.2</v>
      </c>
      <c r="E85" s="26" t="n">
        <v>130</v>
      </c>
      <c r="F85" s="32" t="inlineStr">
        <is>
          <t>T2</t>
        </is>
      </c>
      <c r="G85" s="32" t="inlineStr">
        <is>
          <t>med</t>
        </is>
      </c>
      <c r="H85" s="19" t="n">
        <v>1</v>
      </c>
      <c r="I85" s="33">
        <f>60*D85/cruise_kt</f>
        <v/>
      </c>
      <c r="J85" s="33">
        <f>I85+turn_min+dwell_min</f>
        <v/>
      </c>
      <c r="K85" s="34">
        <f>MIN(16,FLOOR(60*service_hr/J85,1))</f>
        <v/>
      </c>
      <c r="L85" s="34">
        <f>ROUND(365*mech_uptime*H85,0)</f>
        <v/>
      </c>
      <c r="M85" s="35">
        <f>mech_uptime</f>
        <v/>
      </c>
      <c r="N85" s="35">
        <f>revleg_sel</f>
        <v/>
      </c>
      <c r="O85" s="34">
        <f>ROUND(K85*L85*revleg_sel,0)</f>
        <v/>
      </c>
      <c r="P85" s="36">
        <f>load_sel</f>
        <v/>
      </c>
      <c r="Q85" s="36">
        <f>pax_cap*P85</f>
        <v/>
      </c>
      <c r="R85" s="34">
        <f>Q85*O85</f>
        <v/>
      </c>
      <c r="S85" s="37">
        <f>E85*discount</f>
        <v/>
      </c>
      <c r="T85" s="38">
        <f>S85*R85</f>
        <v/>
      </c>
      <c r="U85" s="38">
        <f>(battery/range_nm)*D85*O85*VLOOKUP(B85,country_opex,3,FALSE)</f>
        <v/>
      </c>
      <c r="V85" s="38">
        <f>VLOOKUP(B85,country_opex,2,FALSE)*crew_factor</f>
        <v/>
      </c>
      <c r="W85" s="38">
        <f>VLOOKUP(B85,country_opex,5,FALSE)</f>
        <v/>
      </c>
      <c r="X85" s="38">
        <f>maint</f>
        <v/>
      </c>
      <c r="Y85" s="38">
        <f>VLOOKUP(B85,country_opex,7,FALSE)*ins_pct</f>
        <v/>
      </c>
      <c r="Z85" s="38">
        <f>charge_berth</f>
        <v/>
      </c>
      <c r="AA85" s="38">
        <f>U85+V85+W85+X85+Y85+Z85</f>
        <v/>
      </c>
      <c r="AB85" s="38">
        <f>VLOOKUP(B85,country_opex,7,FALSE)/dep_years</f>
        <v/>
      </c>
      <c r="AC85" s="38">
        <f>T85-AA85</f>
        <v/>
      </c>
      <c r="AD85" s="35">
        <f>IF(T85=0,"",AC85/T85)</f>
        <v/>
      </c>
      <c r="AE85" s="36">
        <f>IF(AC85&lt;=0,"",VLOOKUP(B85,country_opex,7,FALSE)/AC85)</f>
        <v/>
      </c>
      <c r="AF85" s="33">
        <f>((D85*O85/diesel_nmpg)*diesel_co2pg-(battery/range_nm)*D85*O85*VLOOKUP(B85,country_opex,4,FALSE))/1000</f>
        <v/>
      </c>
      <c r="AG85" s="31" t="n"/>
      <c r="AH85" s="32" t="n"/>
      <c r="AI85" s="32" t="n"/>
      <c r="AJ85" s="39" t="n">
        <v>0.1</v>
      </c>
      <c r="AK85" s="34">
        <f>IF(AG85="","",AG85*AJ85)</f>
        <v/>
      </c>
      <c r="AL85" s="34">
        <f>IF(OR(AG85="",R85=0),"",MIN(IF(AS85="",9.9E+99,AS85),FLOOR(AK85/R85,1)))</f>
        <v/>
      </c>
      <c r="AM85" s="38">
        <f>IF(AL85="","",AL85*T85)</f>
        <v/>
      </c>
      <c r="AN85" s="36">
        <f>IF(OR(AG85="",R85=0),"",MIN(IF(AS85="",9.9E+99,AS85),AK85/R85))</f>
        <v/>
      </c>
      <c r="AO85" s="38">
        <f>IF(AN85="","",AN85*T85)</f>
        <v/>
      </c>
      <c r="AP85" s="40" t="n"/>
      <c r="AQ85" s="41" t="n"/>
      <c r="AR85" s="41" t="n"/>
      <c r="AS85" s="42" t="n"/>
      <c r="AT85" s="43">
        <f>IF(((S85*pax_cap*load_thin*ROUND(K85*L85*revleg_thin,0))-(((battery/range_nm)*D85*ROUND(K85*L85*revleg_thin,0)*VLOOKUP(B85,country_opex,3,FALSE))+V85+W85+X85+Y85+Z85))&lt;=0,"",VLOOKUP(B85,country_opex,7,FALSE)/((S85*pax_cap*load_thin*ROUND(K85*L85*revleg_thin,0))-(((battery/range_nm)*D85*ROUND(K85*L85*revleg_thin,0)*VLOOKUP(B85,country_opex,3,FALSE))+V85+W85+X85+Y85+Z85)))</f>
        <v/>
      </c>
      <c r="AU85" s="43">
        <f>IF(((S85*pax_cap*load_mid*ROUND(K85*L85*revleg_mid,0))-(((battery/range_nm)*D85*ROUND(K85*L85*revleg_mid,0)*VLOOKUP(B85,country_opex,3,FALSE))+V85+W85+X85+Y85+Z85))&lt;=0,"",VLOOKUP(B85,country_opex,7,FALSE)/((S85*pax_cap*load_mid*ROUND(K85*L85*revleg_mid,0))-(((battery/range_nm)*D85*ROUND(K85*L85*revleg_mid,0)*VLOOKUP(B85,country_opex,3,FALSE))+V85+W85+X85+Y85+Z85)))</f>
        <v/>
      </c>
      <c r="AV85" s="43">
        <f>IF(((S85*pax_cap*load_full*ROUND(K85*L85*revleg_full,0))-(((battery/range_nm)*D85*ROUND(K85*L85*revleg_full,0)*VLOOKUP(B85,country_opex,3,FALSE))+V85+W85+X85+Y85+Z85))&lt;=0,"",VLOOKUP(B85,country_opex,7,FALSE)/((S85*pax_cap*load_full*ROUND(K85*L85*revleg_full,0))-(((battery/range_nm)*D85*ROUND(K85*L85*revleg_full,0)*VLOOKUP(B85,country_opex,3,FALSE))+V85+W85+X85+Y85+Z85)))</f>
        <v/>
      </c>
      <c r="AW85" s="44" t="inlineStr">
        <is>
          <t>PREMIUM/excursion proxy: same Tel Aviv Marina shared skyline cruise ~$130/person (GetYourGuide, 2026); a dedicated Jaffa/Tel Aviv/Bat Yam small-group cruise lists from $299 and a 30-min TLV-Jaffa skyline cruise from $150. Excursion fares, not transfer fares.</t>
        </is>
      </c>
      <c r="AX85" s="44" t="n"/>
    </row>
    <row r="86">
      <c r="A86" s="29" t="inlineStr">
        <is>
          <t>Bolt Israel</t>
        </is>
      </c>
      <c r="B86" s="29" t="inlineStr">
        <is>
          <t>Israel</t>
        </is>
      </c>
      <c r="C86" s="30" t="inlineStr">
        <is>
          <t>Haifa → Akko (Acre)</t>
        </is>
      </c>
      <c r="D86" s="31" t="n">
        <v>6.8</v>
      </c>
      <c r="E86" s="26" t="n">
        <v>11</v>
      </c>
      <c r="F86" s="32" t="inlineStr">
        <is>
          <t>T2</t>
        </is>
      </c>
      <c r="G86" s="32" t="inlineStr">
        <is>
          <t>med</t>
        </is>
      </c>
      <c r="H86" s="19" t="n">
        <v>1</v>
      </c>
      <c r="I86" s="33">
        <f>60*D86/cruise_kt</f>
        <v/>
      </c>
      <c r="J86" s="33">
        <f>I86+turn_min+dwell_min</f>
        <v/>
      </c>
      <c r="K86" s="34">
        <f>MIN(10,FLOOR(60*service_hr/J86,1))</f>
        <v/>
      </c>
      <c r="L86" s="34">
        <f>ROUND(365*mech_uptime*H86,0)</f>
        <v/>
      </c>
      <c r="M86" s="35">
        <f>mech_uptime</f>
        <v/>
      </c>
      <c r="N86" s="35">
        <f>revleg_sel</f>
        <v/>
      </c>
      <c r="O86" s="34">
        <f>ROUND(K86*L86*revleg_sel,0)</f>
        <v/>
      </c>
      <c r="P86" s="36">
        <f>load_sel</f>
        <v/>
      </c>
      <c r="Q86" s="36">
        <f>pax_cap*P86</f>
        <v/>
      </c>
      <c r="R86" s="34">
        <f>Q86*O86</f>
        <v/>
      </c>
      <c r="S86" s="37">
        <f>E86*discount</f>
        <v/>
      </c>
      <c r="T86" s="38">
        <f>S86*R86</f>
        <v/>
      </c>
      <c r="U86" s="38">
        <f>(battery/range_nm)*D86*O86*VLOOKUP(B86,country_opex,3,FALSE)</f>
        <v/>
      </c>
      <c r="V86" s="38">
        <f>VLOOKUP(B86,country_opex,2,FALSE)*crew_factor</f>
        <v/>
      </c>
      <c r="W86" s="38">
        <f>VLOOKUP(B86,country_opex,5,FALSE)</f>
        <v/>
      </c>
      <c r="X86" s="38">
        <f>maint</f>
        <v/>
      </c>
      <c r="Y86" s="38">
        <f>VLOOKUP(B86,country_opex,7,FALSE)*ins_pct</f>
        <v/>
      </c>
      <c r="Z86" s="38">
        <f>charge_berth</f>
        <v/>
      </c>
      <c r="AA86" s="38">
        <f>U86+V86+W86+X86+Y86+Z86</f>
        <v/>
      </c>
      <c r="AB86" s="38">
        <f>VLOOKUP(B86,country_opex,7,FALSE)/dep_years</f>
        <v/>
      </c>
      <c r="AC86" s="38">
        <f>T86-AA86</f>
        <v/>
      </c>
      <c r="AD86" s="35">
        <f>IF(T86=0,"",AC86/T86)</f>
        <v/>
      </c>
      <c r="AE86" s="36">
        <f>IF(AC86&lt;=0,"",VLOOKUP(B86,country_opex,7,FALSE)/AC86)</f>
        <v/>
      </c>
      <c r="AF86" s="33">
        <f>((D86*O86/diesel_nmpg)*diesel_co2pg-(battery/range_nm)*D86*O86*VLOOKUP(B86,country_opex,4,FALSE))/1000</f>
        <v/>
      </c>
      <c r="AG86" s="31" t="n">
        <v>1500000</v>
      </c>
      <c r="AH86" s="32" t="n"/>
      <c r="AI86" s="32" t="n"/>
      <c r="AJ86" s="39" t="n">
        <v>0.1</v>
      </c>
      <c r="AK86" s="34">
        <f>IF(AG86="","",AG86*AJ86)</f>
        <v/>
      </c>
      <c r="AL86" s="34">
        <f>IF(OR(AG86="",R86=0),"",MIN(IF(AS86="",9.9E+99,AS86),FLOOR(AK86/R86,1)))</f>
        <v/>
      </c>
      <c r="AM86" s="38">
        <f>IF(AL86="","",AL86*T86)</f>
        <v/>
      </c>
      <c r="AN86" s="36">
        <f>IF(OR(AG86="",R86=0),"",MIN(IF(AS86="",9.9E+99,AS86),AK86/R86))</f>
        <v/>
      </c>
      <c r="AO86" s="38">
        <f>IF(AN86="","",AN86*T86)</f>
        <v/>
      </c>
      <c r="AP86" s="40" t="n"/>
      <c r="AQ86" s="41" t="n"/>
      <c r="AR86" s="41" t="n"/>
      <c r="AS86" s="42" t="n"/>
      <c r="AT86" s="43">
        <f>IF(((S86*pax_cap*load_thin*ROUND(K86*L86*revleg_thin,0))-(((battery/range_nm)*D86*ROUND(K86*L86*revleg_thin,0)*VLOOKUP(B86,country_opex,3,FALSE))+V86+W86+X86+Y86+Z86))&lt;=0,"",VLOOKUP(B86,country_opex,7,FALSE)/((S86*pax_cap*load_thin*ROUND(K86*L86*revleg_thin,0))-(((battery/range_nm)*D86*ROUND(K86*L86*revleg_thin,0)*VLOOKUP(B86,country_opex,3,FALSE))+V86+W86+X86+Y86+Z86)))</f>
        <v/>
      </c>
      <c r="AU86" s="43">
        <f>IF(((S86*pax_cap*load_mid*ROUND(K86*L86*revleg_mid,0))-(((battery/range_nm)*D86*ROUND(K86*L86*revleg_mid,0)*VLOOKUP(B86,country_opex,3,FALSE))+V86+W86+X86+Y86+Z86))&lt;=0,"",VLOOKUP(B86,country_opex,7,FALSE)/((S86*pax_cap*load_mid*ROUND(K86*L86*revleg_mid,0))-(((battery/range_nm)*D86*ROUND(K86*L86*revleg_mid,0)*VLOOKUP(B86,country_opex,3,FALSE))+V86+W86+X86+Y86+Z86)))</f>
        <v/>
      </c>
      <c r="AV86" s="43">
        <f>IF(((S86*pax_cap*load_full*ROUND(K86*L86*revleg_full,0))-(((battery/range_nm)*D86*ROUND(K86*L86*revleg_full,0)*VLOOKUP(B86,country_opex,3,FALSE))+V86+W86+X86+Y86+Z86))&lt;=0,"",VLOOKUP(B86,country_opex,7,FALSE)/((S86*pax_cap*load_full*ROUND(K86*L86*revleg_full,0))-(((battery/range_nm)*D86*ROUND(K86*L86*revleg_full,0)*VLOOKUP(B86,country_opex,3,FALSE))+V86+W86+X86+Y86+Z86)))</f>
        <v/>
      </c>
      <c r="AW86" s="44" t="inlineStr">
        <is>
          <t>ACTUAL scheduled boat: Ferryline (Malkat Akko / 'Nesichat HaCarmel') Haifa&lt;-&gt;Akko one-way ticket NIS 40 (round-trip return leg discounted to NIS 30). NIS 40 / 3.65 = ~$11.0. The only real scheduled marine passenger fare in Israel; it doubles as both the premium tier AND the floor (no cheaper subsidized marine option exists).</t>
        </is>
      </c>
      <c r="AX86" s="44" t="n"/>
    </row>
    <row r="87">
      <c r="A87" s="29" t="inlineStr">
        <is>
          <t>Bolt Israel</t>
        </is>
      </c>
      <c r="B87" s="29" t="inlineStr">
        <is>
          <t>Israel</t>
        </is>
      </c>
      <c r="C87" s="30" t="inlineStr">
        <is>
          <t>Tel Aviv Marina → Herzliya Marina</t>
        </is>
      </c>
      <c r="D87" s="31" t="n">
        <v>7</v>
      </c>
      <c r="E87" s="26" t="n">
        <v>130</v>
      </c>
      <c r="F87" s="32" t="inlineStr">
        <is>
          <t>T2</t>
        </is>
      </c>
      <c r="G87" s="32" t="inlineStr">
        <is>
          <t>med</t>
        </is>
      </c>
      <c r="H87" s="19" t="n">
        <v>1</v>
      </c>
      <c r="I87" s="33">
        <f>60*D87/cruise_kt</f>
        <v/>
      </c>
      <c r="J87" s="33">
        <f>I87+turn_min+dwell_min</f>
        <v/>
      </c>
      <c r="K87" s="34">
        <f>MIN(10,FLOOR(60*service_hr/J87,1))</f>
        <v/>
      </c>
      <c r="L87" s="34">
        <f>ROUND(365*mech_uptime*H87,0)</f>
        <v/>
      </c>
      <c r="M87" s="35">
        <f>mech_uptime</f>
        <v/>
      </c>
      <c r="N87" s="35">
        <f>revleg_sel</f>
        <v/>
      </c>
      <c r="O87" s="34">
        <f>ROUND(K87*L87*revleg_sel,0)</f>
        <v/>
      </c>
      <c r="P87" s="36">
        <f>load_sel</f>
        <v/>
      </c>
      <c r="Q87" s="36">
        <f>pax_cap*P87</f>
        <v/>
      </c>
      <c r="R87" s="34">
        <f>Q87*O87</f>
        <v/>
      </c>
      <c r="S87" s="37">
        <f>E87*discount</f>
        <v/>
      </c>
      <c r="T87" s="38">
        <f>S87*R87</f>
        <v/>
      </c>
      <c r="U87" s="38">
        <f>(battery/range_nm)*D87*O87*VLOOKUP(B87,country_opex,3,FALSE)</f>
        <v/>
      </c>
      <c r="V87" s="38">
        <f>VLOOKUP(B87,country_opex,2,FALSE)*crew_factor</f>
        <v/>
      </c>
      <c r="W87" s="38">
        <f>VLOOKUP(B87,country_opex,5,FALSE)</f>
        <v/>
      </c>
      <c r="X87" s="38">
        <f>maint</f>
        <v/>
      </c>
      <c r="Y87" s="38">
        <f>VLOOKUP(B87,country_opex,7,FALSE)*ins_pct</f>
        <v/>
      </c>
      <c r="Z87" s="38">
        <f>charge_berth</f>
        <v/>
      </c>
      <c r="AA87" s="38">
        <f>U87+V87+W87+X87+Y87+Z87</f>
        <v/>
      </c>
      <c r="AB87" s="38">
        <f>VLOOKUP(B87,country_opex,7,FALSE)/dep_years</f>
        <v/>
      </c>
      <c r="AC87" s="38">
        <f>T87-AA87</f>
        <v/>
      </c>
      <c r="AD87" s="35">
        <f>IF(T87=0,"",AC87/T87)</f>
        <v/>
      </c>
      <c r="AE87" s="36">
        <f>IF(AC87&lt;=0,"",VLOOKUP(B87,country_opex,7,FALSE)/AC87)</f>
        <v/>
      </c>
      <c r="AF87" s="33">
        <f>((D87*O87/diesel_nmpg)*diesel_co2pg-(battery/range_nm)*D87*O87*VLOOKUP(B87,country_opex,4,FALSE))/1000</f>
        <v/>
      </c>
      <c r="AG87" s="31" t="n">
        <v>234753</v>
      </c>
      <c r="AH87" s="32" t="n"/>
      <c r="AI87" s="32" t="n"/>
      <c r="AJ87" s="39" t="n">
        <v>0.1</v>
      </c>
      <c r="AK87" s="34">
        <f>IF(AG87="","",AG87*AJ87)</f>
        <v/>
      </c>
      <c r="AL87" s="34">
        <f>IF(OR(AG87="",R87=0),"",MIN(IF(AS87="",9.9E+99,AS87),FLOOR(AK87/R87,1)))</f>
        <v/>
      </c>
      <c r="AM87" s="38">
        <f>IF(AL87="","",AL87*T87)</f>
        <v/>
      </c>
      <c r="AN87" s="36">
        <f>IF(OR(AG87="",R87=0),"",MIN(IF(AS87="",9.9E+99,AS87),AK87/R87))</f>
        <v/>
      </c>
      <c r="AO87" s="38">
        <f>IF(AN87="","",AN87*T87)</f>
        <v/>
      </c>
      <c r="AP87" s="40" t="n"/>
      <c r="AQ87" s="41" t="n"/>
      <c r="AR87" s="41" t="n"/>
      <c r="AS87" s="42" t="n"/>
      <c r="AT87" s="43">
        <f>IF(((S87*pax_cap*load_thin*ROUND(K87*L87*revleg_thin,0))-(((battery/range_nm)*D87*ROUND(K87*L87*revleg_thin,0)*VLOOKUP(B87,country_opex,3,FALSE))+V87+W87+X87+Y87+Z87))&lt;=0,"",VLOOKUP(B87,country_opex,7,FALSE)/((S87*pax_cap*load_thin*ROUND(K87*L87*revleg_thin,0))-(((battery/range_nm)*D87*ROUND(K87*L87*revleg_thin,0)*VLOOKUP(B87,country_opex,3,FALSE))+V87+W87+X87+Y87+Z87)))</f>
        <v/>
      </c>
      <c r="AU87" s="43">
        <f>IF(((S87*pax_cap*load_mid*ROUND(K87*L87*revleg_mid,0))-(((battery/range_nm)*D87*ROUND(K87*L87*revleg_mid,0)*VLOOKUP(B87,country_opex,3,FALSE))+V87+W87+X87+Y87+Z87))&lt;=0,"",VLOOKUP(B87,country_opex,7,FALSE)/((S87*pax_cap*load_mid*ROUND(K87*L87*revleg_mid,0))-(((battery/range_nm)*D87*ROUND(K87*L87*revleg_mid,0)*VLOOKUP(B87,country_opex,3,FALSE))+V87+W87+X87+Y87+Z87)))</f>
        <v/>
      </c>
      <c r="AV87" s="43">
        <f>IF(((S87*pax_cap*load_full*ROUND(K87*L87*revleg_full,0))-(((battery/range_nm)*D87*ROUND(K87*L87*revleg_full,0)*VLOOKUP(B87,country_opex,3,FALSE))+V87+W87+X87+Y87+Z87))&lt;=0,"",VLOOKUP(B87,country_opex,7,FALSE)/((S87*pax_cap*load_full*ROUND(K87*L87*revleg_full,0))-(((battery/range_nm)*D87*ROUND(K87*L87*revleg_full,0)*VLOOKUP(B87,country_opex,3,FALSE))+V87+W87+X87+Y87+Z87)))</f>
        <v/>
      </c>
      <c r="AW87" s="44" t="inlineStr">
        <is>
          <t>PREMIUM/excursion proxy: Tel Aviv Marina shared 'Skyline Boat Cruise' ~2h from $130/person (GetYourGuide, 2026). No scheduled point-to-point water taxi exists, so this charter/excursion-divided per-seat is the closest sourceable premium comparable -- an EXCURSION fare, not a transfer fare; a true commuter shuttle seat would price below this.</t>
        </is>
      </c>
      <c r="AX87" s="44" t="n"/>
    </row>
    <row r="88">
      <c r="A88" s="29" t="inlineStr">
        <is>
          <t>Bolt Israel</t>
        </is>
      </c>
      <c r="B88" s="29" t="inlineStr">
        <is>
          <t>Israel</t>
        </is>
      </c>
      <c r="C88" s="30" t="inlineStr">
        <is>
          <t>Herzliya → Netanya</t>
        </is>
      </c>
      <c r="D88" s="31" t="n">
        <v>10.4</v>
      </c>
      <c r="E88" s="26" t="n">
        <v>130</v>
      </c>
      <c r="F88" s="32" t="inlineStr">
        <is>
          <t>T2</t>
        </is>
      </c>
      <c r="G88" s="32" t="inlineStr">
        <is>
          <t>med</t>
        </is>
      </c>
      <c r="H88" s="19" t="n">
        <v>1</v>
      </c>
      <c r="I88" s="33">
        <f>60*D88/cruise_kt</f>
        <v/>
      </c>
      <c r="J88" s="33">
        <f>I88+turn_min+dwell_min</f>
        <v/>
      </c>
      <c r="K88" s="34">
        <f>MIN(16,FLOOR(60*service_hr/J88,1))</f>
        <v/>
      </c>
      <c r="L88" s="34">
        <f>ROUND(365*mech_uptime*H88,0)</f>
        <v/>
      </c>
      <c r="M88" s="35">
        <f>mech_uptime</f>
        <v/>
      </c>
      <c r="N88" s="35">
        <f>revleg_sel</f>
        <v/>
      </c>
      <c r="O88" s="34">
        <f>ROUND(K88*L88*revleg_sel,0)</f>
        <v/>
      </c>
      <c r="P88" s="36">
        <f>load_sel</f>
        <v/>
      </c>
      <c r="Q88" s="36">
        <f>pax_cap*P88</f>
        <v/>
      </c>
      <c r="R88" s="34">
        <f>Q88*O88</f>
        <v/>
      </c>
      <c r="S88" s="37">
        <f>E88*discount</f>
        <v/>
      </c>
      <c r="T88" s="38">
        <f>S88*R88</f>
        <v/>
      </c>
      <c r="U88" s="38">
        <f>(battery/range_nm)*D88*O88*VLOOKUP(B88,country_opex,3,FALSE)</f>
        <v/>
      </c>
      <c r="V88" s="38">
        <f>VLOOKUP(B88,country_opex,2,FALSE)*crew_factor</f>
        <v/>
      </c>
      <c r="W88" s="38">
        <f>VLOOKUP(B88,country_opex,5,FALSE)</f>
        <v/>
      </c>
      <c r="X88" s="38">
        <f>maint</f>
        <v/>
      </c>
      <c r="Y88" s="38">
        <f>VLOOKUP(B88,country_opex,7,FALSE)*ins_pct</f>
        <v/>
      </c>
      <c r="Z88" s="38">
        <f>charge_berth</f>
        <v/>
      </c>
      <c r="AA88" s="38">
        <f>U88+V88+W88+X88+Y88+Z88</f>
        <v/>
      </c>
      <c r="AB88" s="38">
        <f>VLOOKUP(B88,country_opex,7,FALSE)/dep_years</f>
        <v/>
      </c>
      <c r="AC88" s="38">
        <f>T88-AA88</f>
        <v/>
      </c>
      <c r="AD88" s="35">
        <f>IF(T88=0,"",AC88/T88)</f>
        <v/>
      </c>
      <c r="AE88" s="36">
        <f>IF(AC88&lt;=0,"",VLOOKUP(B88,country_opex,7,FALSE)/AC88)</f>
        <v/>
      </c>
      <c r="AF88" s="33">
        <f>((D88*O88/diesel_nmpg)*diesel_co2pg-(battery/range_nm)*D88*O88*VLOOKUP(B88,country_opex,4,FALSE))/1000</f>
        <v/>
      </c>
      <c r="AG88" s="31" t="n"/>
      <c r="AH88" s="32" t="n"/>
      <c r="AI88" s="32" t="n"/>
      <c r="AJ88" s="39" t="n">
        <v>0.1</v>
      </c>
      <c r="AK88" s="34">
        <f>IF(AG88="","",AG88*AJ88)</f>
        <v/>
      </c>
      <c r="AL88" s="34">
        <f>IF(OR(AG88="",R88=0),"",MIN(IF(AS88="",9.9E+99,AS88),FLOOR(AK88/R88,1)))</f>
        <v/>
      </c>
      <c r="AM88" s="38">
        <f>IF(AL88="","",AL88*T88)</f>
        <v/>
      </c>
      <c r="AN88" s="36">
        <f>IF(OR(AG88="",R88=0),"",MIN(IF(AS88="",9.9E+99,AS88),AK88/R88))</f>
        <v/>
      </c>
      <c r="AO88" s="38">
        <f>IF(AN88="","",AN88*T88)</f>
        <v/>
      </c>
      <c r="AP88" s="40" t="n"/>
      <c r="AQ88" s="41" t="n"/>
      <c r="AR88" s="41" t="n"/>
      <c r="AS88" s="42" t="n"/>
      <c r="AT88" s="43">
        <f>IF(((S88*pax_cap*load_thin*ROUND(K88*L88*revleg_thin,0))-(((battery/range_nm)*D88*ROUND(K88*L88*revleg_thin,0)*VLOOKUP(B88,country_opex,3,FALSE))+V88+W88+X88+Y88+Z88))&lt;=0,"",VLOOKUP(B88,country_opex,7,FALSE)/((S88*pax_cap*load_thin*ROUND(K88*L88*revleg_thin,0))-(((battery/range_nm)*D88*ROUND(K88*L88*revleg_thin,0)*VLOOKUP(B88,country_opex,3,FALSE))+V88+W88+X88+Y88+Z88)))</f>
        <v/>
      </c>
      <c r="AU88" s="43">
        <f>IF(((S88*pax_cap*load_mid*ROUND(K88*L88*revleg_mid,0))-(((battery/range_nm)*D88*ROUND(K88*L88*revleg_mid,0)*VLOOKUP(B88,country_opex,3,FALSE))+V88+W88+X88+Y88+Z88))&lt;=0,"",VLOOKUP(B88,country_opex,7,FALSE)/((S88*pax_cap*load_mid*ROUND(K88*L88*revleg_mid,0))-(((battery/range_nm)*D88*ROUND(K88*L88*revleg_mid,0)*VLOOKUP(B88,country_opex,3,FALSE))+V88+W88+X88+Y88+Z88)))</f>
        <v/>
      </c>
      <c r="AV88" s="43">
        <f>IF(((S88*pax_cap*load_full*ROUND(K88*L88*revleg_full,0))-(((battery/range_nm)*D88*ROUND(K88*L88*revleg_full,0)*VLOOKUP(B88,country_opex,3,FALSE))+V88+W88+X88+Y88+Z88))&lt;=0,"",VLOOKUP(B88,country_opex,7,FALSE)/((S88*pax_cap*load_full*ROUND(K88*L88*revleg_full,0))-(((battery/range_nm)*D88*ROUND(K88*L88*revleg_full,0)*VLOOKUP(B88,country_opex,3,FALSE))+V88+W88+X88+Y88+Z88)))</f>
        <v/>
      </c>
      <c r="AW88" s="44" t="inlineStr">
        <is>
          <t>PREMIUM/excursion proxy: Tel Aviv-area shared skyline cruise ~$130/person (GetYourGuide, 2026); no scheduled service on this leg.</t>
        </is>
      </c>
      <c r="AX88" s="44" t="n"/>
    </row>
    <row r="89">
      <c r="A89" s="29" t="inlineStr">
        <is>
          <t>Bolt Israel</t>
        </is>
      </c>
      <c r="B89" s="29" t="inlineStr">
        <is>
          <t>Israel</t>
        </is>
      </c>
      <c r="C89" s="30" t="inlineStr">
        <is>
          <t>Ashdod → Ashkelon</t>
        </is>
      </c>
      <c r="D89" s="31" t="n">
        <v>10.4</v>
      </c>
      <c r="E89" s="26" t="n"/>
      <c r="F89" s="32" t="n"/>
      <c r="G89" s="32" t="n"/>
      <c r="H89" s="19" t="n">
        <v>1</v>
      </c>
      <c r="I89" s="33">
        <f>60*D89/cruise_kt</f>
        <v/>
      </c>
      <c r="J89" s="33">
        <f>I89+turn_min+dwell_min</f>
        <v/>
      </c>
      <c r="K89" s="34">
        <f>MIN(16,FLOOR(60*service_hr/J89,1))</f>
        <v/>
      </c>
      <c r="L89" s="34">
        <f>ROUND(365*mech_uptime*H89,0)</f>
        <v/>
      </c>
      <c r="M89" s="35">
        <f>mech_uptime</f>
        <v/>
      </c>
      <c r="N89" s="35">
        <f>revleg_sel</f>
        <v/>
      </c>
      <c r="O89" s="34">
        <f>ROUND(K89*L89*revleg_sel,0)</f>
        <v/>
      </c>
      <c r="P89" s="36">
        <f>load_sel</f>
        <v/>
      </c>
      <c r="Q89" s="36">
        <f>pax_cap*P89</f>
        <v/>
      </c>
      <c r="R89" s="34">
        <f>Q89*O89</f>
        <v/>
      </c>
      <c r="S89" s="37">
        <f>E89*discount</f>
        <v/>
      </c>
      <c r="T89" s="38">
        <f>S89*R89</f>
        <v/>
      </c>
      <c r="U89" s="38">
        <f>(battery/range_nm)*D89*O89*VLOOKUP(B89,country_opex,3,FALSE)</f>
        <v/>
      </c>
      <c r="V89" s="38">
        <f>VLOOKUP(B89,country_opex,2,FALSE)*crew_factor</f>
        <v/>
      </c>
      <c r="W89" s="38">
        <f>VLOOKUP(B89,country_opex,5,FALSE)</f>
        <v/>
      </c>
      <c r="X89" s="38">
        <f>maint</f>
        <v/>
      </c>
      <c r="Y89" s="38">
        <f>VLOOKUP(B89,country_opex,7,FALSE)*ins_pct</f>
        <v/>
      </c>
      <c r="Z89" s="38">
        <f>charge_berth</f>
        <v/>
      </c>
      <c r="AA89" s="38">
        <f>U89+V89+W89+X89+Y89+Z89</f>
        <v/>
      </c>
      <c r="AB89" s="38">
        <f>VLOOKUP(B89,country_opex,7,FALSE)/dep_years</f>
        <v/>
      </c>
      <c r="AC89" s="38">
        <f>T89-AA89</f>
        <v/>
      </c>
      <c r="AD89" s="35">
        <f>IF(T89=0,"",AC89/T89)</f>
        <v/>
      </c>
      <c r="AE89" s="36">
        <f>IF(AC89&lt;=0,"",VLOOKUP(B89,country_opex,7,FALSE)/AC89)</f>
        <v/>
      </c>
      <c r="AF89" s="33">
        <f>((D89*O89/diesel_nmpg)*diesel_co2pg-(battery/range_nm)*D89*O89*VLOOKUP(B89,country_opex,4,FALSE))/1000</f>
        <v/>
      </c>
      <c r="AG89" s="31" t="n">
        <v>142310</v>
      </c>
      <c r="AH89" s="32" t="n"/>
      <c r="AI89" s="32" t="n"/>
      <c r="AJ89" s="39" t="n">
        <v>0.1</v>
      </c>
      <c r="AK89" s="34">
        <f>IF(AG89="","",AG89*AJ89)</f>
        <v/>
      </c>
      <c r="AL89" s="34">
        <f>IF(OR(AG89="",R89=0),"",MIN(IF(AS89="",9.9E+99,AS89),FLOOR(AK89/R89,1)))</f>
        <v/>
      </c>
      <c r="AM89" s="38">
        <f>IF(AL89="","",AL89*T89)</f>
        <v/>
      </c>
      <c r="AN89" s="36">
        <f>IF(OR(AG89="",R89=0),"",MIN(IF(AS89="",9.9E+99,AS89),AK89/R89))</f>
        <v/>
      </c>
      <c r="AO89" s="38">
        <f>IF(AN89="","",AN89*T89)</f>
        <v/>
      </c>
      <c r="AP89" s="40" t="n"/>
      <c r="AQ89" s="41" t="n"/>
      <c r="AR89" s="41" t="n"/>
      <c r="AS89" s="42" t="n"/>
      <c r="AT89" s="43">
        <f>IF(((S89*pax_cap*load_thin*ROUND(K89*L89*revleg_thin,0))-(((battery/range_nm)*D89*ROUND(K89*L89*revleg_thin,0)*VLOOKUP(B89,country_opex,3,FALSE))+V89+W89+X89+Y89+Z89))&lt;=0,"",VLOOKUP(B89,country_opex,7,FALSE)/((S89*pax_cap*load_thin*ROUND(K89*L89*revleg_thin,0))-(((battery/range_nm)*D89*ROUND(K89*L89*revleg_thin,0)*VLOOKUP(B89,country_opex,3,FALSE))+V89+W89+X89+Y89+Z89)))</f>
        <v/>
      </c>
      <c r="AU89" s="43">
        <f>IF(((S89*pax_cap*load_mid*ROUND(K89*L89*revleg_mid,0))-(((battery/range_nm)*D89*ROUND(K89*L89*revleg_mid,0)*VLOOKUP(B89,country_opex,3,FALSE))+V89+W89+X89+Y89+Z89))&lt;=0,"",VLOOKUP(B89,country_opex,7,FALSE)/((S89*pax_cap*load_mid*ROUND(K89*L89*revleg_mid,0))-(((battery/range_nm)*D89*ROUND(K89*L89*revleg_mid,0)*VLOOKUP(B89,country_opex,3,FALSE))+V89+W89+X89+Y89+Z89)))</f>
        <v/>
      </c>
      <c r="AV89" s="43">
        <f>IF(((S89*pax_cap*load_full*ROUND(K89*L89*revleg_full,0))-(((battery/range_nm)*D89*ROUND(K89*L89*revleg_full,0)*VLOOKUP(B89,country_opex,3,FALSE))+V89+W89+X89+Y89+Z89))&lt;=0,"",VLOOKUP(B89,country_opex,7,FALSE)/((S89*pax_cap*load_full*ROUND(K89*L89*revleg_full,0))-(((battery/range_nm)*D89*ROUND(K89*L89*revleg_full,0)*VLOOKUP(B89,country_opex,3,FALSE))+V89+W89+X89+Y89+Z89)))</f>
        <v/>
      </c>
      <c r="AW89" s="44" t="n"/>
      <c r="AX89" s="44" t="n"/>
    </row>
    <row r="90">
      <c r="A90" s="29" t="inlineStr">
        <is>
          <t>Bolt Israel</t>
        </is>
      </c>
      <c r="B90" s="29" t="inlineStr">
        <is>
          <t>Israel</t>
        </is>
      </c>
      <c r="C90" s="30" t="inlineStr">
        <is>
          <t>Tel Aviv → Netanya</t>
        </is>
      </c>
      <c r="D90" s="31" t="n">
        <v>15.1</v>
      </c>
      <c r="E90" s="26" t="n">
        <v>130</v>
      </c>
      <c r="F90" s="32" t="inlineStr">
        <is>
          <t>T2</t>
        </is>
      </c>
      <c r="G90" s="32" t="inlineStr">
        <is>
          <t>med</t>
        </is>
      </c>
      <c r="H90" s="19" t="n">
        <v>1</v>
      </c>
      <c r="I90" s="33">
        <f>60*D90/cruise_kt</f>
        <v/>
      </c>
      <c r="J90" s="33">
        <f>I90+turn_min+dwell_min</f>
        <v/>
      </c>
      <c r="K90" s="34">
        <f>MIN(16,FLOOR(60*service_hr/J90,1))</f>
        <v/>
      </c>
      <c r="L90" s="34">
        <f>ROUND(365*mech_uptime*H90,0)</f>
        <v/>
      </c>
      <c r="M90" s="35">
        <f>mech_uptime</f>
        <v/>
      </c>
      <c r="N90" s="35">
        <f>revleg_sel</f>
        <v/>
      </c>
      <c r="O90" s="34">
        <f>ROUND(K90*L90*revleg_sel,0)</f>
        <v/>
      </c>
      <c r="P90" s="36">
        <f>load_sel</f>
        <v/>
      </c>
      <c r="Q90" s="36">
        <f>pax_cap*P90</f>
        <v/>
      </c>
      <c r="R90" s="34">
        <f>Q90*O90</f>
        <v/>
      </c>
      <c r="S90" s="37">
        <f>E90*discount</f>
        <v/>
      </c>
      <c r="T90" s="38">
        <f>S90*R90</f>
        <v/>
      </c>
      <c r="U90" s="38">
        <f>(battery/range_nm)*D90*O90*VLOOKUP(B90,country_opex,3,FALSE)</f>
        <v/>
      </c>
      <c r="V90" s="38">
        <f>VLOOKUP(B90,country_opex,2,FALSE)*crew_factor</f>
        <v/>
      </c>
      <c r="W90" s="38">
        <f>VLOOKUP(B90,country_opex,5,FALSE)</f>
        <v/>
      </c>
      <c r="X90" s="38">
        <f>maint</f>
        <v/>
      </c>
      <c r="Y90" s="38">
        <f>VLOOKUP(B90,country_opex,7,FALSE)*ins_pct</f>
        <v/>
      </c>
      <c r="Z90" s="38">
        <f>charge_berth</f>
        <v/>
      </c>
      <c r="AA90" s="38">
        <f>U90+V90+W90+X90+Y90+Z90</f>
        <v/>
      </c>
      <c r="AB90" s="38">
        <f>VLOOKUP(B90,country_opex,7,FALSE)/dep_years</f>
        <v/>
      </c>
      <c r="AC90" s="38">
        <f>T90-AA90</f>
        <v/>
      </c>
      <c r="AD90" s="35">
        <f>IF(T90=0,"",AC90/T90)</f>
        <v/>
      </c>
      <c r="AE90" s="36">
        <f>IF(AC90&lt;=0,"",VLOOKUP(B90,country_opex,7,FALSE)/AC90)</f>
        <v/>
      </c>
      <c r="AF90" s="33">
        <f>((D90*O90/diesel_nmpg)*diesel_co2pg-(battery/range_nm)*D90*O90*VLOOKUP(B90,country_opex,4,FALSE))/1000</f>
        <v/>
      </c>
      <c r="AG90" s="31" t="n">
        <v>168015</v>
      </c>
      <c r="AH90" s="32" t="n"/>
      <c r="AI90" s="32" t="n"/>
      <c r="AJ90" s="39" t="n">
        <v>0.1</v>
      </c>
      <c r="AK90" s="34">
        <f>IF(AG90="","",AG90*AJ90)</f>
        <v/>
      </c>
      <c r="AL90" s="34">
        <f>IF(OR(AG90="",R90=0),"",MIN(IF(AS90="",9.9E+99,AS90),FLOOR(AK90/R90,1)))</f>
        <v/>
      </c>
      <c r="AM90" s="38">
        <f>IF(AL90="","",AL90*T90)</f>
        <v/>
      </c>
      <c r="AN90" s="36">
        <f>IF(OR(AG90="",R90=0),"",MIN(IF(AS90="",9.9E+99,AS90),AK90/R90))</f>
        <v/>
      </c>
      <c r="AO90" s="38">
        <f>IF(AN90="","",AN90*T90)</f>
        <v/>
      </c>
      <c r="AP90" s="40" t="n"/>
      <c r="AQ90" s="41" t="n"/>
      <c r="AR90" s="41" t="n"/>
      <c r="AS90" s="42" t="n"/>
      <c r="AT90" s="43">
        <f>IF(((S90*pax_cap*load_thin*ROUND(K90*L90*revleg_thin,0))-(((battery/range_nm)*D90*ROUND(K90*L90*revleg_thin,0)*VLOOKUP(B90,country_opex,3,FALSE))+V90+W90+X90+Y90+Z90))&lt;=0,"",VLOOKUP(B90,country_opex,7,FALSE)/((S90*pax_cap*load_thin*ROUND(K90*L90*revleg_thin,0))-(((battery/range_nm)*D90*ROUND(K90*L90*revleg_thin,0)*VLOOKUP(B90,country_opex,3,FALSE))+V90+W90+X90+Y90+Z90)))</f>
        <v/>
      </c>
      <c r="AU90" s="43">
        <f>IF(((S90*pax_cap*load_mid*ROUND(K90*L90*revleg_mid,0))-(((battery/range_nm)*D90*ROUND(K90*L90*revleg_mid,0)*VLOOKUP(B90,country_opex,3,FALSE))+V90+W90+X90+Y90+Z90))&lt;=0,"",VLOOKUP(B90,country_opex,7,FALSE)/((S90*pax_cap*load_mid*ROUND(K90*L90*revleg_mid,0))-(((battery/range_nm)*D90*ROUND(K90*L90*revleg_mid,0)*VLOOKUP(B90,country_opex,3,FALSE))+V90+W90+X90+Y90+Z90)))</f>
        <v/>
      </c>
      <c r="AV90" s="43">
        <f>IF(((S90*pax_cap*load_full*ROUND(K90*L90*revleg_full,0))-(((battery/range_nm)*D90*ROUND(K90*L90*revleg_full,0)*VLOOKUP(B90,country_opex,3,FALSE))+V90+W90+X90+Y90+Z90))&lt;=0,"",VLOOKUP(B90,country_opex,7,FALSE)/((S90*pax_cap*load_full*ROUND(K90*L90*revleg_full,0))-(((battery/range_nm)*D90*ROUND(K90*L90*revleg_full,0)*VLOOKUP(B90,country_opex,3,FALSE))+V90+W90+X90+Y90+Z90)))</f>
        <v/>
      </c>
      <c r="AW90" s="44" t="inlineStr">
        <is>
          <t>PREMIUM/excursion proxy: Tel Aviv Marina shared skyline cruise ~$130/person (GetYourGuide, 2026). No scheduled TLV-Netanya water service; excursion-divided per-seat used as the closest premium comparable.</t>
        </is>
      </c>
      <c r="AX90" s="44" t="n"/>
    </row>
    <row r="91">
      <c r="A91" s="29" t="inlineStr">
        <is>
          <t>Bolt Israel</t>
        </is>
      </c>
      <c r="B91" s="29" t="inlineStr">
        <is>
          <t>Israel</t>
        </is>
      </c>
      <c r="C91" s="30" t="inlineStr">
        <is>
          <t>Tel Aviv → Ashdod</t>
        </is>
      </c>
      <c r="D91" s="31" t="n">
        <v>16.9</v>
      </c>
      <c r="E91" s="26" t="n">
        <v>130</v>
      </c>
      <c r="F91" s="32" t="inlineStr">
        <is>
          <t>T2</t>
        </is>
      </c>
      <c r="G91" s="32" t="inlineStr">
        <is>
          <t>med</t>
        </is>
      </c>
      <c r="H91" s="19" t="n">
        <v>1</v>
      </c>
      <c r="I91" s="33">
        <f>60*D91/cruise_kt</f>
        <v/>
      </c>
      <c r="J91" s="33">
        <f>I91+turn_min+dwell_min</f>
        <v/>
      </c>
      <c r="K91" s="34">
        <f>MIN(16,FLOOR(60*service_hr/J91,1))</f>
        <v/>
      </c>
      <c r="L91" s="34">
        <f>ROUND(365*mech_uptime*H91,0)</f>
        <v/>
      </c>
      <c r="M91" s="35">
        <f>mech_uptime</f>
        <v/>
      </c>
      <c r="N91" s="35">
        <f>revleg_sel</f>
        <v/>
      </c>
      <c r="O91" s="34">
        <f>ROUND(K91*L91*revleg_sel,0)</f>
        <v/>
      </c>
      <c r="P91" s="36">
        <f>load_sel</f>
        <v/>
      </c>
      <c r="Q91" s="36">
        <f>pax_cap*P91</f>
        <v/>
      </c>
      <c r="R91" s="34">
        <f>Q91*O91</f>
        <v/>
      </c>
      <c r="S91" s="37">
        <f>E91*discount</f>
        <v/>
      </c>
      <c r="T91" s="38">
        <f>S91*R91</f>
        <v/>
      </c>
      <c r="U91" s="38">
        <f>(battery/range_nm)*D91*O91*VLOOKUP(B91,country_opex,3,FALSE)</f>
        <v/>
      </c>
      <c r="V91" s="38">
        <f>VLOOKUP(B91,country_opex,2,FALSE)*crew_factor</f>
        <v/>
      </c>
      <c r="W91" s="38">
        <f>VLOOKUP(B91,country_opex,5,FALSE)</f>
        <v/>
      </c>
      <c r="X91" s="38">
        <f>maint</f>
        <v/>
      </c>
      <c r="Y91" s="38">
        <f>VLOOKUP(B91,country_opex,7,FALSE)*ins_pct</f>
        <v/>
      </c>
      <c r="Z91" s="38">
        <f>charge_berth</f>
        <v/>
      </c>
      <c r="AA91" s="38">
        <f>U91+V91+W91+X91+Y91+Z91</f>
        <v/>
      </c>
      <c r="AB91" s="38">
        <f>VLOOKUP(B91,country_opex,7,FALSE)/dep_years</f>
        <v/>
      </c>
      <c r="AC91" s="38">
        <f>T91-AA91</f>
        <v/>
      </c>
      <c r="AD91" s="35">
        <f>IF(T91=0,"",AC91/T91)</f>
        <v/>
      </c>
      <c r="AE91" s="36">
        <f>IF(AC91&lt;=0,"",VLOOKUP(B91,country_opex,7,FALSE)/AC91)</f>
        <v/>
      </c>
      <c r="AF91" s="33">
        <f>((D91*O91/diesel_nmpg)*diesel_co2pg-(battery/range_nm)*D91*O91*VLOOKUP(B91,country_opex,4,FALSE))/1000</f>
        <v/>
      </c>
      <c r="AG91" s="31" t="n">
        <v>143443</v>
      </c>
      <c r="AH91" s="32" t="n"/>
      <c r="AI91" s="32" t="n"/>
      <c r="AJ91" s="39" t="n">
        <v>0.1</v>
      </c>
      <c r="AK91" s="34">
        <f>IF(AG91="","",AG91*AJ91)</f>
        <v/>
      </c>
      <c r="AL91" s="34">
        <f>IF(OR(AG91="",R91=0),"",MIN(IF(AS91="",9.9E+99,AS91),FLOOR(AK91/R91,1)))</f>
        <v/>
      </c>
      <c r="AM91" s="38">
        <f>IF(AL91="","",AL91*T91)</f>
        <v/>
      </c>
      <c r="AN91" s="36">
        <f>IF(OR(AG91="",R91=0),"",MIN(IF(AS91="",9.9E+99,AS91),AK91/R91))</f>
        <v/>
      </c>
      <c r="AO91" s="38">
        <f>IF(AN91="","",AN91*T91)</f>
        <v/>
      </c>
      <c r="AP91" s="40" t="n"/>
      <c r="AQ91" s="41" t="n"/>
      <c r="AR91" s="41" t="n"/>
      <c r="AS91" s="42" t="n"/>
      <c r="AT91" s="43">
        <f>IF(((S91*pax_cap*load_thin*ROUND(K91*L91*revleg_thin,0))-(((battery/range_nm)*D91*ROUND(K91*L91*revleg_thin,0)*VLOOKUP(B91,country_opex,3,FALSE))+V91+W91+X91+Y91+Z91))&lt;=0,"",VLOOKUP(B91,country_opex,7,FALSE)/((S91*pax_cap*load_thin*ROUND(K91*L91*revleg_thin,0))-(((battery/range_nm)*D91*ROUND(K91*L91*revleg_thin,0)*VLOOKUP(B91,country_opex,3,FALSE))+V91+W91+X91+Y91+Z91)))</f>
        <v/>
      </c>
      <c r="AU91" s="43">
        <f>IF(((S91*pax_cap*load_mid*ROUND(K91*L91*revleg_mid,0))-(((battery/range_nm)*D91*ROUND(K91*L91*revleg_mid,0)*VLOOKUP(B91,country_opex,3,FALSE))+V91+W91+X91+Y91+Z91))&lt;=0,"",VLOOKUP(B91,country_opex,7,FALSE)/((S91*pax_cap*load_mid*ROUND(K91*L91*revleg_mid,0))-(((battery/range_nm)*D91*ROUND(K91*L91*revleg_mid,0)*VLOOKUP(B91,country_opex,3,FALSE))+V91+W91+X91+Y91+Z91)))</f>
        <v/>
      </c>
      <c r="AV91" s="43">
        <f>IF(((S91*pax_cap*load_full*ROUND(K91*L91*revleg_full,0))-(((battery/range_nm)*D91*ROUND(K91*L91*revleg_full,0)*VLOOKUP(B91,country_opex,3,FALSE))+V91+W91+X91+Y91+Z91))&lt;=0,"",VLOOKUP(B91,country_opex,7,FALSE)/((S91*pax_cap*load_full*ROUND(K91*L91*revleg_full,0))-(((battery/range_nm)*D91*ROUND(K91*L91*revleg_full,0)*VLOOKUP(B91,country_opex,3,FALSE))+V91+W91+X91+Y91+Z91)))</f>
        <v/>
      </c>
      <c r="AW91" s="44" t="inlineStr">
        <is>
          <t>PREMIUM/excursion proxy: Tel Aviv Marina shared skyline cruise ~$130/person (GetYourGuide, 2026). No scheduled TLV-Ashdod water service.</t>
        </is>
      </c>
      <c r="AX91" s="44" t="n"/>
    </row>
    <row r="92">
      <c r="A92" s="29" t="inlineStr">
        <is>
          <t>Bolt Israel</t>
        </is>
      </c>
      <c r="B92" s="29" t="inlineStr">
        <is>
          <t>Israel</t>
        </is>
      </c>
      <c r="C92" s="30" t="inlineStr">
        <is>
          <t>Tel Aviv → Haifa</t>
        </is>
      </c>
      <c r="D92" s="31" t="n">
        <v>45.6</v>
      </c>
      <c r="E92" s="26" t="n">
        <v>130</v>
      </c>
      <c r="F92" s="32" t="inlineStr">
        <is>
          <t>T2</t>
        </is>
      </c>
      <c r="G92" s="32" t="inlineStr">
        <is>
          <t>med</t>
        </is>
      </c>
      <c r="H92" s="19" t="n">
        <v>1</v>
      </c>
      <c r="I92" s="33">
        <f>60*D92/cruise_kt</f>
        <v/>
      </c>
      <c r="J92" s="33">
        <f>I92+turn_min+dwell_min</f>
        <v/>
      </c>
      <c r="K92" s="34">
        <f>MIN(16,FLOOR(60*service_hr/J92,1))</f>
        <v/>
      </c>
      <c r="L92" s="34">
        <f>ROUND(365*mech_uptime*H92,0)</f>
        <v/>
      </c>
      <c r="M92" s="35">
        <f>mech_uptime</f>
        <v/>
      </c>
      <c r="N92" s="35">
        <f>revleg_sel</f>
        <v/>
      </c>
      <c r="O92" s="34">
        <f>ROUND(K92*L92*revleg_sel,0)</f>
        <v/>
      </c>
      <c r="P92" s="36">
        <f>load_sel</f>
        <v/>
      </c>
      <c r="Q92" s="36">
        <f>pax_cap*P92</f>
        <v/>
      </c>
      <c r="R92" s="34">
        <f>Q92*O92</f>
        <v/>
      </c>
      <c r="S92" s="37">
        <f>E92*discount</f>
        <v/>
      </c>
      <c r="T92" s="38">
        <f>S92*R92</f>
        <v/>
      </c>
      <c r="U92" s="38">
        <f>(battery/range_nm)*D92*O92*VLOOKUP(B92,country_opex,3,FALSE)</f>
        <v/>
      </c>
      <c r="V92" s="38">
        <f>VLOOKUP(B92,country_opex,2,FALSE)*crew_factor</f>
        <v/>
      </c>
      <c r="W92" s="38">
        <f>VLOOKUP(B92,country_opex,5,FALSE)</f>
        <v/>
      </c>
      <c r="X92" s="38">
        <f>maint</f>
        <v/>
      </c>
      <c r="Y92" s="38">
        <f>VLOOKUP(B92,country_opex,7,FALSE)*ins_pct</f>
        <v/>
      </c>
      <c r="Z92" s="38">
        <f>charge_berth</f>
        <v/>
      </c>
      <c r="AA92" s="38">
        <f>U92+V92+W92+X92+Y92+Z92</f>
        <v/>
      </c>
      <c r="AB92" s="38">
        <f>VLOOKUP(B92,country_opex,7,FALSE)/dep_years</f>
        <v/>
      </c>
      <c r="AC92" s="38">
        <f>T92-AA92</f>
        <v/>
      </c>
      <c r="AD92" s="35">
        <f>IF(T92=0,"",AC92/T92)</f>
        <v/>
      </c>
      <c r="AE92" s="36">
        <f>IF(AC92&lt;=0,"",VLOOKUP(B92,country_opex,7,FALSE)/AC92)</f>
        <v/>
      </c>
      <c r="AF92" s="33">
        <f>((D92*O92/diesel_nmpg)*diesel_co2pg-(battery/range_nm)*D92*O92*VLOOKUP(B92,country_opex,4,FALSE))/1000</f>
        <v/>
      </c>
      <c r="AG92" s="31" t="n">
        <v>201092</v>
      </c>
      <c r="AH92" s="32" t="n"/>
      <c r="AI92" s="32" t="n"/>
      <c r="AJ92" s="39" t="n">
        <v>0.1</v>
      </c>
      <c r="AK92" s="34">
        <f>IF(AG92="","",AG92*AJ92)</f>
        <v/>
      </c>
      <c r="AL92" s="34">
        <f>IF(OR(AG92="",R92=0),"",MIN(IF(AS92="",9.9E+99,AS92),FLOOR(AK92/R92,1)))</f>
        <v/>
      </c>
      <c r="AM92" s="38">
        <f>IF(AL92="","",AL92*T92)</f>
        <v/>
      </c>
      <c r="AN92" s="36">
        <f>IF(OR(AG92="",R92=0),"",MIN(IF(AS92="",9.9E+99,AS92),AK92/R92))</f>
        <v/>
      </c>
      <c r="AO92" s="38">
        <f>IF(AN92="","",AN92*T92)</f>
        <v/>
      </c>
      <c r="AP92" s="40" t="n"/>
      <c r="AQ92" s="41" t="n"/>
      <c r="AR92" s="41" t="n"/>
      <c r="AS92" s="42" t="n"/>
      <c r="AT92" s="43">
        <f>IF(((S92*pax_cap*load_thin*ROUND(K92*L92*revleg_thin,0))-(((battery/range_nm)*D92*ROUND(K92*L92*revleg_thin,0)*VLOOKUP(B92,country_opex,3,FALSE))+V92+W92+X92+Y92+Z92))&lt;=0,"",VLOOKUP(B92,country_opex,7,FALSE)/((S92*pax_cap*load_thin*ROUND(K92*L92*revleg_thin,0))-(((battery/range_nm)*D92*ROUND(K92*L92*revleg_thin,0)*VLOOKUP(B92,country_opex,3,FALSE))+V92+W92+X92+Y92+Z92)))</f>
        <v/>
      </c>
      <c r="AU92" s="43">
        <f>IF(((S92*pax_cap*load_mid*ROUND(K92*L92*revleg_mid,0))-(((battery/range_nm)*D92*ROUND(K92*L92*revleg_mid,0)*VLOOKUP(B92,country_opex,3,FALSE))+V92+W92+X92+Y92+Z92))&lt;=0,"",VLOOKUP(B92,country_opex,7,FALSE)/((S92*pax_cap*load_mid*ROUND(K92*L92*revleg_mid,0))-(((battery/range_nm)*D92*ROUND(K92*L92*revleg_mid,0)*VLOOKUP(B92,country_opex,3,FALSE))+V92+W92+X92+Y92+Z92)))</f>
        <v/>
      </c>
      <c r="AV92" s="43">
        <f>IF(((S92*pax_cap*load_full*ROUND(K92*L92*revleg_full,0))-(((battery/range_nm)*D92*ROUND(K92*L92*revleg_full,0)*VLOOKUP(B92,country_opex,3,FALSE))+V92+W92+X92+Y92+Z92))&lt;=0,"",VLOOKUP(B92,country_opex,7,FALSE)/((S92*pax_cap*load_full*ROUND(K92*L92*revleg_full,0))-(((battery/range_nm)*D92*ROUND(K92*L92*revleg_full,0)*VLOOKUP(B92,country_opex,3,FALSE))+V92+W92+X92+Y92+Z92)))</f>
        <v/>
      </c>
      <c r="AW92" s="44" t="inlineStr">
        <is>
          <t>PREMIUM/excursion proxy: Tel Aviv Marina shared skyline cruise ~$130/person (GetYourGuide, 2026) as the only sourceable premium per-seat; a true TLV-Haifa fast-ferry seat would price above this given the longer distance. Excursion proxy, flagged.</t>
        </is>
      </c>
      <c r="AX92" s="44" t="n"/>
    </row>
    <row r="93">
      <c r="A93" s="29" t="inlineStr">
        <is>
          <t>Bolt Italy</t>
        </is>
      </c>
      <c r="B93" s="29" t="inlineStr">
        <is>
          <t>Italy</t>
        </is>
      </c>
      <c r="C93" s="30" t="inlineStr">
        <is>
          <t>Venice → Lido</t>
        </is>
      </c>
      <c r="D93" s="31" t="n">
        <v>1.5</v>
      </c>
      <c r="E93" s="26" t="n">
        <v>27</v>
      </c>
      <c r="F93" s="32" t="inlineStr">
        <is>
          <t>T2</t>
        </is>
      </c>
      <c r="G93" s="32" t="inlineStr">
        <is>
          <t>med</t>
        </is>
      </c>
      <c r="H93" s="19" t="n">
        <v>1</v>
      </c>
      <c r="I93" s="33">
        <f>60*D93/cruise_kt</f>
        <v/>
      </c>
      <c r="J93" s="33">
        <f>I93+turn_min+dwell_min</f>
        <v/>
      </c>
      <c r="K93" s="34">
        <f>MIN(10,FLOOR(60*service_hr/J93,1))</f>
        <v/>
      </c>
      <c r="L93" s="34">
        <f>ROUND(365*mech_uptime*H93,0)</f>
        <v/>
      </c>
      <c r="M93" s="35">
        <f>mech_uptime</f>
        <v/>
      </c>
      <c r="N93" s="35">
        <f>revleg_sel</f>
        <v/>
      </c>
      <c r="O93" s="34">
        <f>ROUND(K93*L93*revleg_sel,0)</f>
        <v/>
      </c>
      <c r="P93" s="36">
        <f>load_sel</f>
        <v/>
      </c>
      <c r="Q93" s="36">
        <f>pax_cap*P93</f>
        <v/>
      </c>
      <c r="R93" s="34">
        <f>Q93*O93</f>
        <v/>
      </c>
      <c r="S93" s="37">
        <f>E93*discount</f>
        <v/>
      </c>
      <c r="T93" s="38">
        <f>S93*R93</f>
        <v/>
      </c>
      <c r="U93" s="38">
        <f>(battery/range_nm)*D93*O93*VLOOKUP(B93,country_opex,3,FALSE)</f>
        <v/>
      </c>
      <c r="V93" s="38">
        <f>VLOOKUP(B93,country_opex,2,FALSE)*crew_factor</f>
        <v/>
      </c>
      <c r="W93" s="38">
        <f>VLOOKUP(B93,country_opex,5,FALSE)</f>
        <v/>
      </c>
      <c r="X93" s="38">
        <f>maint</f>
        <v/>
      </c>
      <c r="Y93" s="38">
        <f>VLOOKUP(B93,country_opex,7,FALSE)*ins_pct</f>
        <v/>
      </c>
      <c r="Z93" s="38">
        <f>charge_berth</f>
        <v/>
      </c>
      <c r="AA93" s="38">
        <f>U93+V93+W93+X93+Y93+Z93</f>
        <v/>
      </c>
      <c r="AB93" s="38">
        <f>VLOOKUP(B93,country_opex,7,FALSE)/dep_years</f>
        <v/>
      </c>
      <c r="AC93" s="38">
        <f>T93-AA93</f>
        <v/>
      </c>
      <c r="AD93" s="35">
        <f>IF(T93=0,"",AC93/T93)</f>
        <v/>
      </c>
      <c r="AE93" s="36">
        <f>IF(AC93&lt;=0,"",VLOOKUP(B93,country_opex,7,FALSE)/AC93)</f>
        <v/>
      </c>
      <c r="AF93" s="33">
        <f>((D93*O93/diesel_nmpg)*diesel_co2pg-(battery/range_nm)*D93*O93*VLOOKUP(B93,country_opex,4,FALSE))/1000</f>
        <v/>
      </c>
      <c r="AG93" s="31" t="n"/>
      <c r="AH93" s="32" t="n"/>
      <c r="AI93" s="32" t="n"/>
      <c r="AJ93" s="39" t="n">
        <v>0.1</v>
      </c>
      <c r="AK93" s="34">
        <f>IF(AG93="","",AG93*AJ93)</f>
        <v/>
      </c>
      <c r="AL93" s="34">
        <f>IF(OR(AG93="",R93=0),"",MIN(IF(AS93="",9.9E+99,AS93),FLOOR(AK93/R93,1)))</f>
        <v/>
      </c>
      <c r="AM93" s="38">
        <f>IF(AL93="","",AL93*T93)</f>
        <v/>
      </c>
      <c r="AN93" s="36">
        <f>IF(OR(AG93="",R93=0),"",MIN(IF(AS93="",9.9E+99,AS93),AK93/R93))</f>
        <v/>
      </c>
      <c r="AO93" s="38">
        <f>IF(AN93="","",AN93*T93)</f>
        <v/>
      </c>
      <c r="AP93" s="40" t="n"/>
      <c r="AQ93" s="41" t="n"/>
      <c r="AR93" s="41" t="n"/>
      <c r="AS93" s="42" t="n"/>
      <c r="AT93" s="43">
        <f>IF(((S93*pax_cap*load_thin*ROUND(K93*L93*revleg_thin,0))-(((battery/range_nm)*D93*ROUND(K93*L93*revleg_thin,0)*VLOOKUP(B93,country_opex,3,FALSE))+V93+W93+X93+Y93+Z93))&lt;=0,"",VLOOKUP(B93,country_opex,7,FALSE)/((S93*pax_cap*load_thin*ROUND(K93*L93*revleg_thin,0))-(((battery/range_nm)*D93*ROUND(K93*L93*revleg_thin,0)*VLOOKUP(B93,country_opex,3,FALSE))+V93+W93+X93+Y93+Z93)))</f>
        <v/>
      </c>
      <c r="AU93" s="43">
        <f>IF(((S93*pax_cap*load_mid*ROUND(K93*L93*revleg_mid,0))-(((battery/range_nm)*D93*ROUND(K93*L93*revleg_mid,0)*VLOOKUP(B93,country_opex,3,FALSE))+V93+W93+X93+Y93+Z93))&lt;=0,"",VLOOKUP(B93,country_opex,7,FALSE)/((S93*pax_cap*load_mid*ROUND(K93*L93*revleg_mid,0))-(((battery/range_nm)*D93*ROUND(K93*L93*revleg_mid,0)*VLOOKUP(B93,country_opex,3,FALSE))+V93+W93+X93+Y93+Z93)))</f>
        <v/>
      </c>
      <c r="AV93" s="43">
        <f>IF(((S93*pax_cap*load_full*ROUND(K93*L93*revleg_full,0))-(((battery/range_nm)*D93*ROUND(K93*L93*revleg_full,0)*VLOOKUP(B93,country_opex,3,FALSE))+V93+W93+X93+Y93+Z93))&lt;=0,"",VLOOKUP(B93,country_opex,7,FALSE)/((S93*pax_cap*load_full*ROUND(K93*L93*revleg_full,0))-(((battery/range_nm)*D93*ROUND(K93*L93*revleg_full,0)*VLOOKUP(B93,country_opex,3,FALSE))+V93+W93+X93+Y93+Z93)))</f>
        <v/>
      </c>
      <c r="AW93" s="44" t="inlineStr">
        <is>
          <t>PREMIUM tourist tier = ACTV day travelcard EUR 25 (~$27) (covers the Lido lines); premium water-taxi tier higher. Navier models the premium tier, not the EUR 9.50 single.</t>
        </is>
      </c>
      <c r="AX93" s="44" t="n"/>
    </row>
    <row r="94">
      <c r="A94" s="29" t="inlineStr">
        <is>
          <t>Bolt Italy</t>
        </is>
      </c>
      <c r="B94" s="29" t="inlineStr">
        <is>
          <t>Italy</t>
        </is>
      </c>
      <c r="C94" s="30" t="inlineStr">
        <is>
          <t>San Marco → Murano / Burano</t>
        </is>
      </c>
      <c r="D94" s="31" t="n">
        <v>2</v>
      </c>
      <c r="E94" s="26" t="n">
        <v>27</v>
      </c>
      <c r="F94" s="32" t="inlineStr">
        <is>
          <t>T2</t>
        </is>
      </c>
      <c r="G94" s="32" t="inlineStr">
        <is>
          <t>med</t>
        </is>
      </c>
      <c r="H94" s="19" t="n">
        <v>1</v>
      </c>
      <c r="I94" s="33">
        <f>60*D94/cruise_kt</f>
        <v/>
      </c>
      <c r="J94" s="33">
        <f>I94+turn_min+dwell_min</f>
        <v/>
      </c>
      <c r="K94" s="34">
        <f>MIN(10,FLOOR(60*service_hr/J94,1))</f>
        <v/>
      </c>
      <c r="L94" s="34">
        <f>ROUND(365*mech_uptime*H94,0)</f>
        <v/>
      </c>
      <c r="M94" s="35">
        <f>mech_uptime</f>
        <v/>
      </c>
      <c r="N94" s="35">
        <f>revleg_sel</f>
        <v/>
      </c>
      <c r="O94" s="34">
        <f>ROUND(K94*L94*revleg_sel,0)</f>
        <v/>
      </c>
      <c r="P94" s="36">
        <f>load_sel</f>
        <v/>
      </c>
      <c r="Q94" s="36">
        <f>pax_cap*P94</f>
        <v/>
      </c>
      <c r="R94" s="34">
        <f>Q94*O94</f>
        <v/>
      </c>
      <c r="S94" s="37">
        <f>E94*discount</f>
        <v/>
      </c>
      <c r="T94" s="38">
        <f>S94*R94</f>
        <v/>
      </c>
      <c r="U94" s="38">
        <f>(battery/range_nm)*D94*O94*VLOOKUP(B94,country_opex,3,FALSE)</f>
        <v/>
      </c>
      <c r="V94" s="38">
        <f>VLOOKUP(B94,country_opex,2,FALSE)*crew_factor</f>
        <v/>
      </c>
      <c r="W94" s="38">
        <f>VLOOKUP(B94,country_opex,5,FALSE)</f>
        <v/>
      </c>
      <c r="X94" s="38">
        <f>maint</f>
        <v/>
      </c>
      <c r="Y94" s="38">
        <f>VLOOKUP(B94,country_opex,7,FALSE)*ins_pct</f>
        <v/>
      </c>
      <c r="Z94" s="38">
        <f>charge_berth</f>
        <v/>
      </c>
      <c r="AA94" s="38">
        <f>U94+V94+W94+X94+Y94+Z94</f>
        <v/>
      </c>
      <c r="AB94" s="38">
        <f>VLOOKUP(B94,country_opex,7,FALSE)/dep_years</f>
        <v/>
      </c>
      <c r="AC94" s="38">
        <f>T94-AA94</f>
        <v/>
      </c>
      <c r="AD94" s="35">
        <f>IF(T94=0,"",AC94/T94)</f>
        <v/>
      </c>
      <c r="AE94" s="36">
        <f>IF(AC94&lt;=0,"",VLOOKUP(B94,country_opex,7,FALSE)/AC94)</f>
        <v/>
      </c>
      <c r="AF94" s="33">
        <f>((D94*O94/diesel_nmpg)*diesel_co2pg-(battery/range_nm)*D94*O94*VLOOKUP(B94,country_opex,4,FALSE))/1000</f>
        <v/>
      </c>
      <c r="AG94" s="31" t="n">
        <v>1500000</v>
      </c>
      <c r="AH94" s="32" t="n"/>
      <c r="AI94" s="32" t="n"/>
      <c r="AJ94" s="39" t="n">
        <v>0.1</v>
      </c>
      <c r="AK94" s="34">
        <f>IF(AG94="","",AG94*AJ94)</f>
        <v/>
      </c>
      <c r="AL94" s="34">
        <f>IF(OR(AG94="",R94=0),"",MIN(IF(AS94="",9.9E+99,AS94),FLOOR(AK94/R94,1)))</f>
        <v/>
      </c>
      <c r="AM94" s="38">
        <f>IF(AL94="","",AL94*T94)</f>
        <v/>
      </c>
      <c r="AN94" s="36">
        <f>IF(OR(AG94="",R94=0),"",MIN(IF(AS94="",9.9E+99,AS94),AK94/R94))</f>
        <v/>
      </c>
      <c r="AO94" s="38">
        <f>IF(AN94="","",AN94*T94)</f>
        <v/>
      </c>
      <c r="AP94" s="40" t="n"/>
      <c r="AQ94" s="41" t="n"/>
      <c r="AR94" s="41" t="n"/>
      <c r="AS94" s="42" t="n"/>
      <c r="AT94" s="43">
        <f>IF(((S94*pax_cap*load_thin*ROUND(K94*L94*revleg_thin,0))-(((battery/range_nm)*D94*ROUND(K94*L94*revleg_thin,0)*VLOOKUP(B94,country_opex,3,FALSE))+V94+W94+X94+Y94+Z94))&lt;=0,"",VLOOKUP(B94,country_opex,7,FALSE)/((S94*pax_cap*load_thin*ROUND(K94*L94*revleg_thin,0))-(((battery/range_nm)*D94*ROUND(K94*L94*revleg_thin,0)*VLOOKUP(B94,country_opex,3,FALSE))+V94+W94+X94+Y94+Z94)))</f>
        <v/>
      </c>
      <c r="AU94" s="43">
        <f>IF(((S94*pax_cap*load_mid*ROUND(K94*L94*revleg_mid,0))-(((battery/range_nm)*D94*ROUND(K94*L94*revleg_mid,0)*VLOOKUP(B94,country_opex,3,FALSE))+V94+W94+X94+Y94+Z94))&lt;=0,"",VLOOKUP(B94,country_opex,7,FALSE)/((S94*pax_cap*load_mid*ROUND(K94*L94*revleg_mid,0))-(((battery/range_nm)*D94*ROUND(K94*L94*revleg_mid,0)*VLOOKUP(B94,country_opex,3,FALSE))+V94+W94+X94+Y94+Z94)))</f>
        <v/>
      </c>
      <c r="AV94" s="43">
        <f>IF(((S94*pax_cap*load_full*ROUND(K94*L94*revleg_full,0))-(((battery/range_nm)*D94*ROUND(K94*L94*revleg_full,0)*VLOOKUP(B94,country_opex,3,FALSE))+V94+W94+X94+Y94+Z94))&lt;=0,"",VLOOKUP(B94,country_opex,7,FALSE)/((S94*pax_cap*load_full*ROUND(K94*L94*revleg_full,0))-(((battery/range_nm)*D94*ROUND(K94*L94*revleg_full,0)*VLOOKUP(B94,country_opex,3,FALSE))+V94+W94+X94+Y94+Z94)))</f>
        <v/>
      </c>
      <c r="AW94" s="44" t="inlineStr">
        <is>
          <t>PREMIUM tourist tier = ACTV day travelcard EUR 25 (valid for the Lido/Murano/Burano island lines) x 1.08 = ~$27 -- the realistic per-tourist fare for the island circuit. Higher premium = shared/private water-taxi tier (cf. EUR 39/person shared, motoscafo EUR 80-120/boat). Navier models the premium water-mobility tier, not the EUR 9.50 single.</t>
        </is>
      </c>
      <c r="AX94" s="44" t="n"/>
    </row>
    <row r="95">
      <c r="A95" s="29" t="inlineStr">
        <is>
          <t>Bolt Italy</t>
        </is>
      </c>
      <c r="B95" s="29" t="inlineStr">
        <is>
          <t>Italy</t>
        </is>
      </c>
      <c r="C95" s="30" t="inlineStr">
        <is>
          <t>Santa Margherita Ligure → Portofino</t>
        </is>
      </c>
      <c r="D95" s="31" t="n">
        <v>2</v>
      </c>
      <c r="E95" s="26" t="n">
        <v>11.9</v>
      </c>
      <c r="F95" s="32" t="inlineStr">
        <is>
          <t>T2</t>
        </is>
      </c>
      <c r="G95" s="32" t="inlineStr">
        <is>
          <t>med</t>
        </is>
      </c>
      <c r="H95" s="19" t="n">
        <v>1</v>
      </c>
      <c r="I95" s="33">
        <f>60*D95/cruise_kt</f>
        <v/>
      </c>
      <c r="J95" s="33">
        <f>I95+turn_min+dwell_min</f>
        <v/>
      </c>
      <c r="K95" s="34">
        <f>MIN(16,FLOOR(60*service_hr/J95,1))</f>
        <v/>
      </c>
      <c r="L95" s="34">
        <f>ROUND(365*mech_uptime*H95,0)</f>
        <v/>
      </c>
      <c r="M95" s="35">
        <f>mech_uptime</f>
        <v/>
      </c>
      <c r="N95" s="35">
        <f>revleg_sel</f>
        <v/>
      </c>
      <c r="O95" s="34">
        <f>ROUND(K95*L95*revleg_sel,0)</f>
        <v/>
      </c>
      <c r="P95" s="36">
        <f>load_sel</f>
        <v/>
      </c>
      <c r="Q95" s="36">
        <f>pax_cap*P95</f>
        <v/>
      </c>
      <c r="R95" s="34">
        <f>Q95*O95</f>
        <v/>
      </c>
      <c r="S95" s="37">
        <f>E95*discount</f>
        <v/>
      </c>
      <c r="T95" s="38">
        <f>S95*R95</f>
        <v/>
      </c>
      <c r="U95" s="38">
        <f>(battery/range_nm)*D95*O95*VLOOKUP(B95,country_opex,3,FALSE)</f>
        <v/>
      </c>
      <c r="V95" s="38">
        <f>VLOOKUP(B95,country_opex,2,FALSE)*crew_factor</f>
        <v/>
      </c>
      <c r="W95" s="38">
        <f>VLOOKUP(B95,country_opex,5,FALSE)</f>
        <v/>
      </c>
      <c r="X95" s="38">
        <f>maint</f>
        <v/>
      </c>
      <c r="Y95" s="38">
        <f>VLOOKUP(B95,country_opex,7,FALSE)*ins_pct</f>
        <v/>
      </c>
      <c r="Z95" s="38">
        <f>charge_berth</f>
        <v/>
      </c>
      <c r="AA95" s="38">
        <f>U95+V95+W95+X95+Y95+Z95</f>
        <v/>
      </c>
      <c r="AB95" s="38">
        <f>VLOOKUP(B95,country_opex,7,FALSE)/dep_years</f>
        <v/>
      </c>
      <c r="AC95" s="38">
        <f>T95-AA95</f>
        <v/>
      </c>
      <c r="AD95" s="35">
        <f>IF(T95=0,"",AC95/T95)</f>
        <v/>
      </c>
      <c r="AE95" s="36">
        <f>IF(AC95&lt;=0,"",VLOOKUP(B95,country_opex,7,FALSE)/AC95)</f>
        <v/>
      </c>
      <c r="AF95" s="33">
        <f>((D95*O95/diesel_nmpg)*diesel_co2pg-(battery/range_nm)*D95*O95*VLOOKUP(B95,country_opex,4,FALSE))/1000</f>
        <v/>
      </c>
      <c r="AG95" s="31" t="n">
        <v>200000</v>
      </c>
      <c r="AH95" s="32" t="n"/>
      <c r="AI95" s="32" t="n"/>
      <c r="AJ95" s="39" t="n">
        <v>0.1</v>
      </c>
      <c r="AK95" s="34">
        <f>IF(AG95="","",AG95*AJ95)</f>
        <v/>
      </c>
      <c r="AL95" s="34">
        <f>IF(OR(AG95="",R95=0),"",MIN(IF(AS95="",9.9E+99,AS95),FLOOR(AK95/R95,1)))</f>
        <v/>
      </c>
      <c r="AM95" s="38">
        <f>IF(AL95="","",AL95*T95)</f>
        <v/>
      </c>
      <c r="AN95" s="36">
        <f>IF(OR(AG95="",R95=0),"",MIN(IF(AS95="",9.9E+99,AS95),AK95/R95))</f>
        <v/>
      </c>
      <c r="AO95" s="38">
        <f>IF(AN95="","",AN95*T95)</f>
        <v/>
      </c>
      <c r="AP95" s="40" t="n"/>
      <c r="AQ95" s="41" t="n"/>
      <c r="AR95" s="41" t="n"/>
      <c r="AS95" s="42" t="n"/>
      <c r="AT95" s="43">
        <f>IF(((S95*pax_cap*load_thin*ROUND(K95*L95*revleg_thin,0))-(((battery/range_nm)*D95*ROUND(K95*L95*revleg_thin,0)*VLOOKUP(B95,country_opex,3,FALSE))+V95+W95+X95+Y95+Z95))&lt;=0,"",VLOOKUP(B95,country_opex,7,FALSE)/((S95*pax_cap*load_thin*ROUND(K95*L95*revleg_thin,0))-(((battery/range_nm)*D95*ROUND(K95*L95*revleg_thin,0)*VLOOKUP(B95,country_opex,3,FALSE))+V95+W95+X95+Y95+Z95)))</f>
        <v/>
      </c>
      <c r="AU95" s="43">
        <f>IF(((S95*pax_cap*load_mid*ROUND(K95*L95*revleg_mid,0))-(((battery/range_nm)*D95*ROUND(K95*L95*revleg_mid,0)*VLOOKUP(B95,country_opex,3,FALSE))+V95+W95+X95+Y95+Z95))&lt;=0,"",VLOOKUP(B95,country_opex,7,FALSE)/((S95*pax_cap*load_mid*ROUND(K95*L95*revleg_mid,0))-(((battery/range_nm)*D95*ROUND(K95*L95*revleg_mid,0)*VLOOKUP(B95,country_opex,3,FALSE))+V95+W95+X95+Y95+Z95)))</f>
        <v/>
      </c>
      <c r="AV95" s="43">
        <f>IF(((S95*pax_cap*load_full*ROUND(K95*L95*revleg_full,0))-(((battery/range_nm)*D95*ROUND(K95*L95*revleg_full,0)*VLOOKUP(B95,country_opex,3,FALSE))+V95+W95+X95+Y95+Z95))&lt;=0,"",VLOOKUP(B95,country_opex,7,FALSE)/((S95*pax_cap*load_full*ROUND(K95*L95*revleg_full,0))-(((battery/range_nm)*D95*ROUND(K95*L95*revleg_full,0)*VLOOKUP(B95,country_opex,3,FALSE))+V95+W95+X95+Y95+Z95)))</f>
        <v/>
      </c>
      <c r="AW95" s="44" t="inlineStr">
        <is>
          <t>PREMIUM scheduled per-seat: Servizio Marittimo del Tigullio Santa Margherita-&gt;Portofino EUR 11 one-way (Rome2Rio) x 1.08 = ~$11.9. Short hop.</t>
        </is>
      </c>
      <c r="AX95" s="44" t="n"/>
    </row>
    <row r="96">
      <c r="A96" s="29" t="inlineStr">
        <is>
          <t>Bolt Italy</t>
        </is>
      </c>
      <c r="B96" s="29" t="inlineStr">
        <is>
          <t>Italy</t>
        </is>
      </c>
      <c r="C96" s="30" t="inlineStr">
        <is>
          <t>Positano → Amalfi</t>
        </is>
      </c>
      <c r="D96" s="31" t="n">
        <v>4</v>
      </c>
      <c r="E96" s="26" t="n">
        <v>11</v>
      </c>
      <c r="F96" s="32" t="inlineStr">
        <is>
          <t>T2</t>
        </is>
      </c>
      <c r="G96" s="32" t="inlineStr">
        <is>
          <t>med</t>
        </is>
      </c>
      <c r="H96" s="19" t="n">
        <v>1</v>
      </c>
      <c r="I96" s="33">
        <f>60*D96/cruise_kt</f>
        <v/>
      </c>
      <c r="J96" s="33">
        <f>I96+turn_min+dwell_min</f>
        <v/>
      </c>
      <c r="K96" s="34">
        <f>MIN(16,FLOOR(60*service_hr/J96,1))</f>
        <v/>
      </c>
      <c r="L96" s="34">
        <f>ROUND(365*mech_uptime*H96,0)</f>
        <v/>
      </c>
      <c r="M96" s="35">
        <f>mech_uptime</f>
        <v/>
      </c>
      <c r="N96" s="35">
        <f>revleg_sel</f>
        <v/>
      </c>
      <c r="O96" s="34">
        <f>ROUND(K96*L96*revleg_sel,0)</f>
        <v/>
      </c>
      <c r="P96" s="36">
        <f>load_sel</f>
        <v/>
      </c>
      <c r="Q96" s="36">
        <f>pax_cap*P96</f>
        <v/>
      </c>
      <c r="R96" s="34">
        <f>Q96*O96</f>
        <v/>
      </c>
      <c r="S96" s="37">
        <f>E96*discount</f>
        <v/>
      </c>
      <c r="T96" s="38">
        <f>S96*R96</f>
        <v/>
      </c>
      <c r="U96" s="38">
        <f>(battery/range_nm)*D96*O96*VLOOKUP(B96,country_opex,3,FALSE)</f>
        <v/>
      </c>
      <c r="V96" s="38">
        <f>VLOOKUP(B96,country_opex,2,FALSE)*crew_factor</f>
        <v/>
      </c>
      <c r="W96" s="38">
        <f>VLOOKUP(B96,country_opex,5,FALSE)</f>
        <v/>
      </c>
      <c r="X96" s="38">
        <f>maint</f>
        <v/>
      </c>
      <c r="Y96" s="38">
        <f>VLOOKUP(B96,country_opex,7,FALSE)*ins_pct</f>
        <v/>
      </c>
      <c r="Z96" s="38">
        <f>charge_berth</f>
        <v/>
      </c>
      <c r="AA96" s="38">
        <f>U96+V96+W96+X96+Y96+Z96</f>
        <v/>
      </c>
      <c r="AB96" s="38">
        <f>VLOOKUP(B96,country_opex,7,FALSE)/dep_years</f>
        <v/>
      </c>
      <c r="AC96" s="38">
        <f>T96-AA96</f>
        <v/>
      </c>
      <c r="AD96" s="35">
        <f>IF(T96=0,"",AC96/T96)</f>
        <v/>
      </c>
      <c r="AE96" s="36">
        <f>IF(AC96&lt;=0,"",VLOOKUP(B96,country_opex,7,FALSE)/AC96)</f>
        <v/>
      </c>
      <c r="AF96" s="33">
        <f>((D96*O96/diesel_nmpg)*diesel_co2pg-(battery/range_nm)*D96*O96*VLOOKUP(B96,country_opex,4,FALSE))/1000</f>
        <v/>
      </c>
      <c r="AG96" s="31" t="n">
        <v>200000</v>
      </c>
      <c r="AH96" s="32" t="n"/>
      <c r="AI96" s="32" t="n"/>
      <c r="AJ96" s="39" t="n">
        <v>0.1</v>
      </c>
      <c r="AK96" s="34">
        <f>IF(AG96="","",AG96*AJ96)</f>
        <v/>
      </c>
      <c r="AL96" s="34">
        <f>IF(OR(AG96="",R96=0),"",MIN(IF(AS96="",9.9E+99,AS96),FLOOR(AK96/R96,1)))</f>
        <v/>
      </c>
      <c r="AM96" s="38">
        <f>IF(AL96="","",AL96*T96)</f>
        <v/>
      </c>
      <c r="AN96" s="36">
        <f>IF(OR(AG96="",R96=0),"",MIN(IF(AS96="",9.9E+99,AS96),AK96/R96))</f>
        <v/>
      </c>
      <c r="AO96" s="38">
        <f>IF(AN96="","",AN96*T96)</f>
        <v/>
      </c>
      <c r="AP96" s="40" t="n"/>
      <c r="AQ96" s="41" t="n"/>
      <c r="AR96" s="41" t="n"/>
      <c r="AS96" s="42" t="n"/>
      <c r="AT96" s="43">
        <f>IF(((S96*pax_cap*load_thin*ROUND(K96*L96*revleg_thin,0))-(((battery/range_nm)*D96*ROUND(K96*L96*revleg_thin,0)*VLOOKUP(B96,country_opex,3,FALSE))+V96+W96+X96+Y96+Z96))&lt;=0,"",VLOOKUP(B96,country_opex,7,FALSE)/((S96*pax_cap*load_thin*ROUND(K96*L96*revleg_thin,0))-(((battery/range_nm)*D96*ROUND(K96*L96*revleg_thin,0)*VLOOKUP(B96,country_opex,3,FALSE))+V96+W96+X96+Y96+Z96)))</f>
        <v/>
      </c>
      <c r="AU96" s="43">
        <f>IF(((S96*pax_cap*load_mid*ROUND(K96*L96*revleg_mid,0))-(((battery/range_nm)*D96*ROUND(K96*L96*revleg_mid,0)*VLOOKUP(B96,country_opex,3,FALSE))+V96+W96+X96+Y96+Z96))&lt;=0,"",VLOOKUP(B96,country_opex,7,FALSE)/((S96*pax_cap*load_mid*ROUND(K96*L96*revleg_mid,0))-(((battery/range_nm)*D96*ROUND(K96*L96*revleg_mid,0)*VLOOKUP(B96,country_opex,3,FALSE))+V96+W96+X96+Y96+Z96)))</f>
        <v/>
      </c>
      <c r="AV96" s="43">
        <f>IF(((S96*pax_cap*load_full*ROUND(K96*L96*revleg_full,0))-(((battery/range_nm)*D96*ROUND(K96*L96*revleg_full,0)*VLOOKUP(B96,country_opex,3,FALSE))+V96+W96+X96+Y96+Z96))&lt;=0,"",VLOOKUP(B96,country_opex,7,FALSE)/((S96*pax_cap*load_full*ROUND(K96*L96*revleg_full,0))-(((battery/range_nm)*D96*ROUND(K96*L96*revleg_full,0)*VLOOKUP(B96,country_opex,3,FALSE))+V96+W96+X96+Y96+Z96)))</f>
        <v/>
      </c>
      <c r="AW96" s="44" t="inlineStr">
        <is>
          <t>PREMIUM scheduled per-seat: Travelmar fast ferry Positano&lt;-&gt;Amalfi ~EUR 10 one-way (Ferryhopper/Omio from EUR 10; Direct Ferries avg ~$35 incl. peak/longer) x 1.08 = ~$11. Short hop, so the premium tier itself is inexpensive.</t>
        </is>
      </c>
      <c r="AX96" s="44" t="n"/>
    </row>
    <row r="97">
      <c r="A97" s="29" t="inlineStr">
        <is>
          <t>Bolt Italy</t>
        </is>
      </c>
      <c r="B97" s="29" t="inlineStr">
        <is>
          <t>Italy</t>
        </is>
      </c>
      <c r="C97" s="30" t="inlineStr">
        <is>
          <t>Venice Marco Polo → San Marco</t>
        </is>
      </c>
      <c r="D97" s="31" t="n">
        <v>4.2</v>
      </c>
      <c r="E97" s="26" t="n">
        <v>42</v>
      </c>
      <c r="F97" s="32" t="inlineStr">
        <is>
          <t>T2</t>
        </is>
      </c>
      <c r="G97" s="32" t="inlineStr">
        <is>
          <t>med</t>
        </is>
      </c>
      <c r="H97" s="19" t="n">
        <v>1</v>
      </c>
      <c r="I97" s="33">
        <f>60*D97/cruise_kt</f>
        <v/>
      </c>
      <c r="J97" s="33">
        <f>I97+turn_min+dwell_min</f>
        <v/>
      </c>
      <c r="K97" s="34">
        <f>MIN(10,FLOOR(60*service_hr/J97,1))</f>
        <v/>
      </c>
      <c r="L97" s="34">
        <f>ROUND(365*mech_uptime*H97,0)</f>
        <v/>
      </c>
      <c r="M97" s="35">
        <f>mech_uptime</f>
        <v/>
      </c>
      <c r="N97" s="35">
        <f>revleg_sel</f>
        <v/>
      </c>
      <c r="O97" s="34">
        <f>ROUND(K97*L97*revleg_sel,0)</f>
        <v/>
      </c>
      <c r="P97" s="36">
        <f>load_sel</f>
        <v/>
      </c>
      <c r="Q97" s="36">
        <f>pax_cap*P97</f>
        <v/>
      </c>
      <c r="R97" s="34">
        <f>Q97*O97</f>
        <v/>
      </c>
      <c r="S97" s="37">
        <f>E97*discount</f>
        <v/>
      </c>
      <c r="T97" s="38">
        <f>S97*R97</f>
        <v/>
      </c>
      <c r="U97" s="38">
        <f>(battery/range_nm)*D97*O97*VLOOKUP(B97,country_opex,3,FALSE)</f>
        <v/>
      </c>
      <c r="V97" s="38">
        <f>VLOOKUP(B97,country_opex,2,FALSE)*crew_factor</f>
        <v/>
      </c>
      <c r="W97" s="38">
        <f>VLOOKUP(B97,country_opex,5,FALSE)</f>
        <v/>
      </c>
      <c r="X97" s="38">
        <f>maint</f>
        <v/>
      </c>
      <c r="Y97" s="38">
        <f>VLOOKUP(B97,country_opex,7,FALSE)*ins_pct</f>
        <v/>
      </c>
      <c r="Z97" s="38">
        <f>charge_berth</f>
        <v/>
      </c>
      <c r="AA97" s="38">
        <f>U97+V97+W97+X97+Y97+Z97</f>
        <v/>
      </c>
      <c r="AB97" s="38">
        <f>VLOOKUP(B97,country_opex,7,FALSE)/dep_years</f>
        <v/>
      </c>
      <c r="AC97" s="38">
        <f>T97-AA97</f>
        <v/>
      </c>
      <c r="AD97" s="35">
        <f>IF(T97=0,"",AC97/T97)</f>
        <v/>
      </c>
      <c r="AE97" s="36">
        <f>IF(AC97&lt;=0,"",VLOOKUP(B97,country_opex,7,FALSE)/AC97)</f>
        <v/>
      </c>
      <c r="AF97" s="33">
        <f>((D97*O97/diesel_nmpg)*diesel_co2pg-(battery/range_nm)*D97*O97*VLOOKUP(B97,country_opex,4,FALSE))/1000</f>
        <v/>
      </c>
      <c r="AG97" s="31" t="n">
        <v>1777500</v>
      </c>
      <c r="AH97" s="32" t="n"/>
      <c r="AI97" s="32" t="n"/>
      <c r="AJ97" s="39" t="n">
        <v>0.1</v>
      </c>
      <c r="AK97" s="34">
        <f>IF(AG97="","",AG97*AJ97)</f>
        <v/>
      </c>
      <c r="AL97" s="34">
        <f>IF(OR(AG97="",R97=0),"",MIN(IF(AS97="",9.9E+99,AS97),FLOOR(AK97/R97,1)))</f>
        <v/>
      </c>
      <c r="AM97" s="38">
        <f>IF(AL97="","",AL97*T97)</f>
        <v/>
      </c>
      <c r="AN97" s="36">
        <f>IF(OR(AG97="",R97=0),"",MIN(IF(AS97="",9.9E+99,AS97),AK97/R97))</f>
        <v/>
      </c>
      <c r="AO97" s="38">
        <f>IF(AN97="","",AN97*T97)</f>
        <v/>
      </c>
      <c r="AP97" s="40" t="n"/>
      <c r="AQ97" s="41" t="n"/>
      <c r="AR97" s="41" t="n"/>
      <c r="AS97" s="42" t="n"/>
      <c r="AT97" s="43">
        <f>IF(((S97*pax_cap*load_thin*ROUND(K97*L97*revleg_thin,0))-(((battery/range_nm)*D97*ROUND(K97*L97*revleg_thin,0)*VLOOKUP(B97,country_opex,3,FALSE))+V97+W97+X97+Y97+Z97))&lt;=0,"",VLOOKUP(B97,country_opex,7,FALSE)/((S97*pax_cap*load_thin*ROUND(K97*L97*revleg_thin,0))-(((battery/range_nm)*D97*ROUND(K97*L97*revleg_thin,0)*VLOOKUP(B97,country_opex,3,FALSE))+V97+W97+X97+Y97+Z97)))</f>
        <v/>
      </c>
      <c r="AU97" s="43">
        <f>IF(((S97*pax_cap*load_mid*ROUND(K97*L97*revleg_mid,0))-(((battery/range_nm)*D97*ROUND(K97*L97*revleg_mid,0)*VLOOKUP(B97,country_opex,3,FALSE))+V97+W97+X97+Y97+Z97))&lt;=0,"",VLOOKUP(B97,country_opex,7,FALSE)/((S97*pax_cap*load_mid*ROUND(K97*L97*revleg_mid,0))-(((battery/range_nm)*D97*ROUND(K97*L97*revleg_mid,0)*VLOOKUP(B97,country_opex,3,FALSE))+V97+W97+X97+Y97+Z97)))</f>
        <v/>
      </c>
      <c r="AV97" s="43">
        <f>IF(((S97*pax_cap*load_full*ROUND(K97*L97*revleg_full,0))-(((battery/range_nm)*D97*ROUND(K97*L97*revleg_full,0)*VLOOKUP(B97,country_opex,3,FALSE))+V97+W97+X97+Y97+Z97))&lt;=0,"",VLOOKUP(B97,country_opex,7,FALSE)/((S97*pax_cap*load_full*ROUND(K97*L97*revleg_full,0))-(((battery/range_nm)*D97*ROUND(K97*L97*revleg_full,0)*VLOOKUP(B97,country_opex,3,FALSE))+V97+W97+X97+Y97+Z97)))</f>
        <v/>
      </c>
      <c r="AW97" s="44" t="inlineStr">
        <is>
          <t>PREMIUM per-seat = shared water taxi ~EUR 39/person (~$42) (Dubai RTA water-taxi convention, NOT the cheap Alilaguna). Private motoscafo Marco Polo-&gt;San Marco area EUR 120-140/boat divided across a party. (Unchanged from prior file; corroborated.)</t>
        </is>
      </c>
      <c r="AX97" s="44" t="n"/>
    </row>
    <row r="98">
      <c r="A98" s="29" t="inlineStr">
        <is>
          <t>Bolt Italy</t>
        </is>
      </c>
      <c r="B98" s="29" t="inlineStr">
        <is>
          <t>Italy</t>
        </is>
      </c>
      <c r="C98" s="30" t="inlineStr">
        <is>
          <t>Capri → Positano</t>
        </is>
      </c>
      <c r="D98" s="31" t="n">
        <v>9</v>
      </c>
      <c r="E98" s="26" t="n">
        <v>31</v>
      </c>
      <c r="F98" s="32" t="inlineStr">
        <is>
          <t>T2</t>
        </is>
      </c>
      <c r="G98" s="32" t="inlineStr">
        <is>
          <t>med</t>
        </is>
      </c>
      <c r="H98" s="19" t="n">
        <v>1</v>
      </c>
      <c r="I98" s="33">
        <f>60*D98/cruise_kt</f>
        <v/>
      </c>
      <c r="J98" s="33">
        <f>I98+turn_min+dwell_min</f>
        <v/>
      </c>
      <c r="K98" s="34">
        <f>MIN(10,FLOOR(60*service_hr/J98,1))</f>
        <v/>
      </c>
      <c r="L98" s="34">
        <f>ROUND(365*mech_uptime*H98,0)</f>
        <v/>
      </c>
      <c r="M98" s="35">
        <f>mech_uptime</f>
        <v/>
      </c>
      <c r="N98" s="35">
        <f>revleg_sel</f>
        <v/>
      </c>
      <c r="O98" s="34">
        <f>ROUND(K98*L98*revleg_sel,0)</f>
        <v/>
      </c>
      <c r="P98" s="36">
        <f>load_sel</f>
        <v/>
      </c>
      <c r="Q98" s="36">
        <f>pax_cap*P98</f>
        <v/>
      </c>
      <c r="R98" s="34">
        <f>Q98*O98</f>
        <v/>
      </c>
      <c r="S98" s="37">
        <f>E98*discount</f>
        <v/>
      </c>
      <c r="T98" s="38">
        <f>S98*R98</f>
        <v/>
      </c>
      <c r="U98" s="38">
        <f>(battery/range_nm)*D98*O98*VLOOKUP(B98,country_opex,3,FALSE)</f>
        <v/>
      </c>
      <c r="V98" s="38">
        <f>VLOOKUP(B98,country_opex,2,FALSE)*crew_factor</f>
        <v/>
      </c>
      <c r="W98" s="38">
        <f>VLOOKUP(B98,country_opex,5,FALSE)</f>
        <v/>
      </c>
      <c r="X98" s="38">
        <f>maint</f>
        <v/>
      </c>
      <c r="Y98" s="38">
        <f>VLOOKUP(B98,country_opex,7,FALSE)*ins_pct</f>
        <v/>
      </c>
      <c r="Z98" s="38">
        <f>charge_berth</f>
        <v/>
      </c>
      <c r="AA98" s="38">
        <f>U98+V98+W98+X98+Y98+Z98</f>
        <v/>
      </c>
      <c r="AB98" s="38">
        <f>VLOOKUP(B98,country_opex,7,FALSE)/dep_years</f>
        <v/>
      </c>
      <c r="AC98" s="38">
        <f>T98-AA98</f>
        <v/>
      </c>
      <c r="AD98" s="35">
        <f>IF(T98=0,"",AC98/T98)</f>
        <v/>
      </c>
      <c r="AE98" s="36">
        <f>IF(AC98&lt;=0,"",VLOOKUP(B98,country_opex,7,FALSE)/AC98)</f>
        <v/>
      </c>
      <c r="AF98" s="33">
        <f>((D98*O98/diesel_nmpg)*diesel_co2pg-(battery/range_nm)*D98*O98*VLOOKUP(B98,country_opex,4,FALSE))/1000</f>
        <v/>
      </c>
      <c r="AG98" s="31" t="n"/>
      <c r="AH98" s="32" t="n"/>
      <c r="AI98" s="32" t="n"/>
      <c r="AJ98" s="39" t="n">
        <v>0.1</v>
      </c>
      <c r="AK98" s="34">
        <f>IF(AG98="","",AG98*AJ98)</f>
        <v/>
      </c>
      <c r="AL98" s="34">
        <f>IF(OR(AG98="",R98=0),"",MIN(IF(AS98="",9.9E+99,AS98),FLOOR(AK98/R98,1)))</f>
        <v/>
      </c>
      <c r="AM98" s="38">
        <f>IF(AL98="","",AL98*T98)</f>
        <v/>
      </c>
      <c r="AN98" s="36">
        <f>IF(OR(AG98="",R98=0),"",MIN(IF(AS98="",9.9E+99,AS98),AK98/R98))</f>
        <v/>
      </c>
      <c r="AO98" s="38">
        <f>IF(AN98="","",AN98*T98)</f>
        <v/>
      </c>
      <c r="AP98" s="40" t="n"/>
      <c r="AQ98" s="41" t="n"/>
      <c r="AR98" s="41" t="n"/>
      <c r="AS98" s="42" t="n"/>
      <c r="AT98" s="43">
        <f>IF(((S98*pax_cap*load_thin*ROUND(K98*L98*revleg_thin,0))-(((battery/range_nm)*D98*ROUND(K98*L98*revleg_thin,0)*VLOOKUP(B98,country_opex,3,FALSE))+V98+W98+X98+Y98+Z98))&lt;=0,"",VLOOKUP(B98,country_opex,7,FALSE)/((S98*pax_cap*load_thin*ROUND(K98*L98*revleg_thin,0))-(((battery/range_nm)*D98*ROUND(K98*L98*revleg_thin,0)*VLOOKUP(B98,country_opex,3,FALSE))+V98+W98+X98+Y98+Z98)))</f>
        <v/>
      </c>
      <c r="AU98" s="43">
        <f>IF(((S98*pax_cap*load_mid*ROUND(K98*L98*revleg_mid,0))-(((battery/range_nm)*D98*ROUND(K98*L98*revleg_mid,0)*VLOOKUP(B98,country_opex,3,FALSE))+V98+W98+X98+Y98+Z98))&lt;=0,"",VLOOKUP(B98,country_opex,7,FALSE)/((S98*pax_cap*load_mid*ROUND(K98*L98*revleg_mid,0))-(((battery/range_nm)*D98*ROUND(K98*L98*revleg_mid,0)*VLOOKUP(B98,country_opex,3,FALSE))+V98+W98+X98+Y98+Z98)))</f>
        <v/>
      </c>
      <c r="AV98" s="43">
        <f>IF(((S98*pax_cap*load_full*ROUND(K98*L98*revleg_full,0))-(((battery/range_nm)*D98*ROUND(K98*L98*revleg_full,0)*VLOOKUP(B98,country_opex,3,FALSE))+V98+W98+X98+Y98+Z98))&lt;=0,"",VLOOKUP(B98,country_opex,7,FALSE)/((S98*pax_cap*load_full*ROUND(K98*L98*revleg_full,0))-(((battery/range_nm)*D98*ROUND(K98*L98*revleg_full,0)*VLOOKUP(B98,country_opex,3,FALSE))+V98+W98+X98+Y98+Z98)))</f>
        <v/>
      </c>
      <c r="AW98" s="44" t="inlineStr">
        <is>
          <t>PREMIUM scheduled per-seat: Capri-&gt;Positano fast ferry from ~EUR 28-29 one-way (positano.com / capri.com) x 1.08 = ~$31.</t>
        </is>
      </c>
      <c r="AX98" s="44" t="n"/>
    </row>
    <row r="99">
      <c r="A99" s="29" t="inlineStr">
        <is>
          <t>Bolt Italy</t>
        </is>
      </c>
      <c r="B99" s="29" t="inlineStr">
        <is>
          <t>Italy</t>
        </is>
      </c>
      <c r="C99" s="30" t="inlineStr">
        <is>
          <t>Sorrento → Capri</t>
        </is>
      </c>
      <c r="D99" s="31" t="n">
        <v>9.5</v>
      </c>
      <c r="E99" s="26" t="n">
        <v>28</v>
      </c>
      <c r="F99" s="32" t="inlineStr">
        <is>
          <t>T2</t>
        </is>
      </c>
      <c r="G99" s="32" t="inlineStr">
        <is>
          <t>med</t>
        </is>
      </c>
      <c r="H99" s="19" t="n">
        <v>1</v>
      </c>
      <c r="I99" s="33">
        <f>60*D99/cruise_kt</f>
        <v/>
      </c>
      <c r="J99" s="33">
        <f>I99+turn_min+dwell_min</f>
        <v/>
      </c>
      <c r="K99" s="34">
        <f>MIN(10,FLOOR(60*service_hr/J99,1))</f>
        <v/>
      </c>
      <c r="L99" s="34">
        <f>ROUND(365*mech_uptime*H99,0)</f>
        <v/>
      </c>
      <c r="M99" s="35">
        <f>mech_uptime</f>
        <v/>
      </c>
      <c r="N99" s="35">
        <f>revleg_sel</f>
        <v/>
      </c>
      <c r="O99" s="34">
        <f>ROUND(K99*L99*revleg_sel,0)</f>
        <v/>
      </c>
      <c r="P99" s="36">
        <f>load_sel</f>
        <v/>
      </c>
      <c r="Q99" s="36">
        <f>pax_cap*P99</f>
        <v/>
      </c>
      <c r="R99" s="34">
        <f>Q99*O99</f>
        <v/>
      </c>
      <c r="S99" s="37">
        <f>E99*discount</f>
        <v/>
      </c>
      <c r="T99" s="38">
        <f>S99*R99</f>
        <v/>
      </c>
      <c r="U99" s="38">
        <f>(battery/range_nm)*D99*O99*VLOOKUP(B99,country_opex,3,FALSE)</f>
        <v/>
      </c>
      <c r="V99" s="38">
        <f>VLOOKUP(B99,country_opex,2,FALSE)*crew_factor</f>
        <v/>
      </c>
      <c r="W99" s="38">
        <f>VLOOKUP(B99,country_opex,5,FALSE)</f>
        <v/>
      </c>
      <c r="X99" s="38">
        <f>maint</f>
        <v/>
      </c>
      <c r="Y99" s="38">
        <f>VLOOKUP(B99,country_opex,7,FALSE)*ins_pct</f>
        <v/>
      </c>
      <c r="Z99" s="38">
        <f>charge_berth</f>
        <v/>
      </c>
      <c r="AA99" s="38">
        <f>U99+V99+W99+X99+Y99+Z99</f>
        <v/>
      </c>
      <c r="AB99" s="38">
        <f>VLOOKUP(B99,country_opex,7,FALSE)/dep_years</f>
        <v/>
      </c>
      <c r="AC99" s="38">
        <f>T99-AA99</f>
        <v/>
      </c>
      <c r="AD99" s="35">
        <f>IF(T99=0,"",AC99/T99)</f>
        <v/>
      </c>
      <c r="AE99" s="36">
        <f>IF(AC99&lt;=0,"",VLOOKUP(B99,country_opex,7,FALSE)/AC99)</f>
        <v/>
      </c>
      <c r="AF99" s="33">
        <f>((D99*O99/diesel_nmpg)*diesel_co2pg-(battery/range_nm)*D99*O99*VLOOKUP(B99,country_opex,4,FALSE))/1000</f>
        <v/>
      </c>
      <c r="AG99" s="31" t="n">
        <v>575000</v>
      </c>
      <c r="AH99" s="32" t="n"/>
      <c r="AI99" s="32" t="n"/>
      <c r="AJ99" s="39" t="n">
        <v>0.1</v>
      </c>
      <c r="AK99" s="34">
        <f>IF(AG99="","",AG99*AJ99)</f>
        <v/>
      </c>
      <c r="AL99" s="34">
        <f>IF(OR(AG99="",R99=0),"",MIN(IF(AS99="",9.9E+99,AS99),FLOOR(AK99/R99,1)))</f>
        <v/>
      </c>
      <c r="AM99" s="38">
        <f>IF(AL99="","",AL99*T99)</f>
        <v/>
      </c>
      <c r="AN99" s="36">
        <f>IF(OR(AG99="",R99=0),"",MIN(IF(AS99="",9.9E+99,AS99),AK99/R99))</f>
        <v/>
      </c>
      <c r="AO99" s="38">
        <f>IF(AN99="","",AN99*T99)</f>
        <v/>
      </c>
      <c r="AP99" s="40" t="n"/>
      <c r="AQ99" s="41" t="n"/>
      <c r="AR99" s="41" t="n"/>
      <c r="AS99" s="42" t="n"/>
      <c r="AT99" s="43">
        <f>IF(((S99*pax_cap*load_thin*ROUND(K99*L99*revleg_thin,0))-(((battery/range_nm)*D99*ROUND(K99*L99*revleg_thin,0)*VLOOKUP(B99,country_opex,3,FALSE))+V99+W99+X99+Y99+Z99))&lt;=0,"",VLOOKUP(B99,country_opex,7,FALSE)/((S99*pax_cap*load_thin*ROUND(K99*L99*revleg_thin,0))-(((battery/range_nm)*D99*ROUND(K99*L99*revleg_thin,0)*VLOOKUP(B99,country_opex,3,FALSE))+V99+W99+X99+Y99+Z99)))</f>
        <v/>
      </c>
      <c r="AU99" s="43">
        <f>IF(((S99*pax_cap*load_mid*ROUND(K99*L99*revleg_mid,0))-(((battery/range_nm)*D99*ROUND(K99*L99*revleg_mid,0)*VLOOKUP(B99,country_opex,3,FALSE))+V99+W99+X99+Y99+Z99))&lt;=0,"",VLOOKUP(B99,country_opex,7,FALSE)/((S99*pax_cap*load_mid*ROUND(K99*L99*revleg_mid,0))-(((battery/range_nm)*D99*ROUND(K99*L99*revleg_mid,0)*VLOOKUP(B99,country_opex,3,FALSE))+V99+W99+X99+Y99+Z99)))</f>
        <v/>
      </c>
      <c r="AV99" s="43">
        <f>IF(((S99*pax_cap*load_full*ROUND(K99*L99*revleg_full,0))-(((battery/range_nm)*D99*ROUND(K99*L99*revleg_full,0)*VLOOKUP(B99,country_opex,3,FALSE))+V99+W99+X99+Y99+Z99))&lt;=0,"",VLOOKUP(B99,country_opex,7,FALSE)/((S99*pax_cap*load_full*ROUND(K99*L99*revleg_full,0))-(((battery/range_nm)*D99*ROUND(K99*L99*revleg_full,0)*VLOOKUP(B99,country_opex,3,FALSE))+V99+W99+X99+Y99+Z99)))</f>
        <v/>
      </c>
      <c r="AW99" s="44" t="inlineStr">
        <is>
          <t>PREMIUM scheduled per-seat = NLG/SNAV/Gescab fast hydrofoil Sorrento-&gt;Capri EUR 21 one-way (EUR 19 year-round 'IR') + EUR 5 Capri landing = ~EUR 26 x 1.08 = ~$28. (Unchanged from prior file; corroborated NLG tariffs.)</t>
        </is>
      </c>
      <c r="AX99" s="44" t="n"/>
    </row>
    <row r="100">
      <c r="A100" s="29" t="inlineStr">
        <is>
          <t>Bolt Italy</t>
        </is>
      </c>
      <c r="B100" s="29" t="inlineStr">
        <is>
          <t>Italy</t>
        </is>
      </c>
      <c r="C100" s="30" t="inlineStr">
        <is>
          <t>Naples → Procida</t>
        </is>
      </c>
      <c r="D100" s="31" t="n">
        <v>12</v>
      </c>
      <c r="E100" s="26" t="n">
        <v>22</v>
      </c>
      <c r="F100" s="32" t="inlineStr">
        <is>
          <t>T2</t>
        </is>
      </c>
      <c r="G100" s="32" t="inlineStr">
        <is>
          <t>med</t>
        </is>
      </c>
      <c r="H100" s="19" t="n">
        <v>1</v>
      </c>
      <c r="I100" s="33">
        <f>60*D100/cruise_kt</f>
        <v/>
      </c>
      <c r="J100" s="33">
        <f>I100+turn_min+dwell_min</f>
        <v/>
      </c>
      <c r="K100" s="34">
        <f>MIN(10,FLOOR(60*service_hr/J100,1))</f>
        <v/>
      </c>
      <c r="L100" s="34">
        <f>ROUND(365*mech_uptime*H100,0)</f>
        <v/>
      </c>
      <c r="M100" s="35">
        <f>mech_uptime</f>
        <v/>
      </c>
      <c r="N100" s="35">
        <f>revleg_sel</f>
        <v/>
      </c>
      <c r="O100" s="34">
        <f>ROUND(K100*L100*revleg_sel,0)</f>
        <v/>
      </c>
      <c r="P100" s="36">
        <f>load_sel</f>
        <v/>
      </c>
      <c r="Q100" s="36">
        <f>pax_cap*P100</f>
        <v/>
      </c>
      <c r="R100" s="34">
        <f>Q100*O100</f>
        <v/>
      </c>
      <c r="S100" s="37">
        <f>E100*discount</f>
        <v/>
      </c>
      <c r="T100" s="38">
        <f>S100*R100</f>
        <v/>
      </c>
      <c r="U100" s="38">
        <f>(battery/range_nm)*D100*O100*VLOOKUP(B100,country_opex,3,FALSE)</f>
        <v/>
      </c>
      <c r="V100" s="38">
        <f>VLOOKUP(B100,country_opex,2,FALSE)*crew_factor</f>
        <v/>
      </c>
      <c r="W100" s="38">
        <f>VLOOKUP(B100,country_opex,5,FALSE)</f>
        <v/>
      </c>
      <c r="X100" s="38">
        <f>maint</f>
        <v/>
      </c>
      <c r="Y100" s="38">
        <f>VLOOKUP(B100,country_opex,7,FALSE)*ins_pct</f>
        <v/>
      </c>
      <c r="Z100" s="38">
        <f>charge_berth</f>
        <v/>
      </c>
      <c r="AA100" s="38">
        <f>U100+V100+W100+X100+Y100+Z100</f>
        <v/>
      </c>
      <c r="AB100" s="38">
        <f>VLOOKUP(B100,country_opex,7,FALSE)/dep_years</f>
        <v/>
      </c>
      <c r="AC100" s="38">
        <f>T100-AA100</f>
        <v/>
      </c>
      <c r="AD100" s="35">
        <f>IF(T100=0,"",AC100/T100)</f>
        <v/>
      </c>
      <c r="AE100" s="36">
        <f>IF(AC100&lt;=0,"",VLOOKUP(B100,country_opex,7,FALSE)/AC100)</f>
        <v/>
      </c>
      <c r="AF100" s="33">
        <f>((D100*O100/diesel_nmpg)*diesel_co2pg-(battery/range_nm)*D100*O100*VLOOKUP(B100,country_opex,4,FALSE))/1000</f>
        <v/>
      </c>
      <c r="AG100" s="31" t="n">
        <v>240000</v>
      </c>
      <c r="AH100" s="32" t="n"/>
      <c r="AI100" s="32" t="n"/>
      <c r="AJ100" s="39" t="n">
        <v>0.1</v>
      </c>
      <c r="AK100" s="34">
        <f>IF(AG100="","",AG100*AJ100)</f>
        <v/>
      </c>
      <c r="AL100" s="34">
        <f>IF(OR(AG100="",R100=0),"",MIN(IF(AS100="",9.9E+99,AS100),FLOOR(AK100/R100,1)))</f>
        <v/>
      </c>
      <c r="AM100" s="38">
        <f>IF(AL100="","",AL100*T100)</f>
        <v/>
      </c>
      <c r="AN100" s="36">
        <f>IF(OR(AG100="",R100=0),"",MIN(IF(AS100="",9.9E+99,AS100),AK100/R100))</f>
        <v/>
      </c>
      <c r="AO100" s="38">
        <f>IF(AN100="","",AN100*T100)</f>
        <v/>
      </c>
      <c r="AP100" s="40" t="n"/>
      <c r="AQ100" s="41" t="n"/>
      <c r="AR100" s="41" t="n"/>
      <c r="AS100" s="42" t="n"/>
      <c r="AT100" s="43">
        <f>IF(((S100*pax_cap*load_thin*ROUND(K100*L100*revleg_thin,0))-(((battery/range_nm)*D100*ROUND(K100*L100*revleg_thin,0)*VLOOKUP(B100,country_opex,3,FALSE))+V100+W100+X100+Y100+Z100))&lt;=0,"",VLOOKUP(B100,country_opex,7,FALSE)/((S100*pax_cap*load_thin*ROUND(K100*L100*revleg_thin,0))-(((battery/range_nm)*D100*ROUND(K100*L100*revleg_thin,0)*VLOOKUP(B100,country_opex,3,FALSE))+V100+W100+X100+Y100+Z100)))</f>
        <v/>
      </c>
      <c r="AU100" s="43">
        <f>IF(((S100*pax_cap*load_mid*ROUND(K100*L100*revleg_mid,0))-(((battery/range_nm)*D100*ROUND(K100*L100*revleg_mid,0)*VLOOKUP(B100,country_opex,3,FALSE))+V100+W100+X100+Y100+Z100))&lt;=0,"",VLOOKUP(B100,country_opex,7,FALSE)/((S100*pax_cap*load_mid*ROUND(K100*L100*revleg_mid,0))-(((battery/range_nm)*D100*ROUND(K100*L100*revleg_mid,0)*VLOOKUP(B100,country_opex,3,FALSE))+V100+W100+X100+Y100+Z100)))</f>
        <v/>
      </c>
      <c r="AV100" s="43">
        <f>IF(((S100*pax_cap*load_full*ROUND(K100*L100*revleg_full,0))-(((battery/range_nm)*D100*ROUND(K100*L100*revleg_full,0)*VLOOKUP(B100,country_opex,3,FALSE))+V100+W100+X100+Y100+Z100))&lt;=0,"",VLOOKUP(B100,country_opex,7,FALSE)/((S100*pax_cap*load_full*ROUND(K100*L100*revleg_full,0))-(((battery/range_nm)*D100*ROUND(K100*L100*revleg_full,0)*VLOOKUP(B100,country_opex,3,FALSE))+V100+W100+X100+Y100+Z100)))</f>
        <v/>
      </c>
      <c r="AW100" s="44" t="inlineStr">
        <is>
          <t>PREMIUM scheduled per-seat = Caremar/SNAV hydrofoil Napoli(Beverello)-&gt;Procida ~EUR 19-22 one-way (visitprocida.com EUR 19-22; ferryhopper EUR 21.90) x 1.08 = ~$22.</t>
        </is>
      </c>
      <c r="AX100" s="44" t="n"/>
    </row>
    <row r="101">
      <c r="A101" s="29" t="inlineStr">
        <is>
          <t>Bolt Italy</t>
        </is>
      </c>
      <c r="B101" s="29" t="inlineStr">
        <is>
          <t>Italy</t>
        </is>
      </c>
      <c r="C101" s="30" t="inlineStr">
        <is>
          <t>Como → Bellagio</t>
        </is>
      </c>
      <c r="D101" s="31" t="n">
        <v>14</v>
      </c>
      <c r="E101" s="26" t="n">
        <v>13</v>
      </c>
      <c r="F101" s="32" t="inlineStr">
        <is>
          <t>T2</t>
        </is>
      </c>
      <c r="G101" s="32" t="inlineStr">
        <is>
          <t>med</t>
        </is>
      </c>
      <c r="H101" s="19" t="n">
        <v>1</v>
      </c>
      <c r="I101" s="33">
        <f>60*D101/cruise_kt</f>
        <v/>
      </c>
      <c r="J101" s="33">
        <f>I101+turn_min+dwell_min</f>
        <v/>
      </c>
      <c r="K101" s="34">
        <f>MIN(16,FLOOR(60*service_hr/J101,1))</f>
        <v/>
      </c>
      <c r="L101" s="34">
        <f>ROUND(365*mech_uptime*H101,0)</f>
        <v/>
      </c>
      <c r="M101" s="35">
        <f>mech_uptime</f>
        <v/>
      </c>
      <c r="N101" s="35">
        <f>revleg_sel</f>
        <v/>
      </c>
      <c r="O101" s="34">
        <f>ROUND(K101*L101*revleg_sel,0)</f>
        <v/>
      </c>
      <c r="P101" s="36">
        <f>load_sel</f>
        <v/>
      </c>
      <c r="Q101" s="36">
        <f>pax_cap*P101</f>
        <v/>
      </c>
      <c r="R101" s="34">
        <f>Q101*O101</f>
        <v/>
      </c>
      <c r="S101" s="37">
        <f>E101*discount</f>
        <v/>
      </c>
      <c r="T101" s="38">
        <f>S101*R101</f>
        <v/>
      </c>
      <c r="U101" s="38">
        <f>(battery/range_nm)*D101*O101*VLOOKUP(B101,country_opex,3,FALSE)</f>
        <v/>
      </c>
      <c r="V101" s="38">
        <f>VLOOKUP(B101,country_opex,2,FALSE)*crew_factor</f>
        <v/>
      </c>
      <c r="W101" s="38">
        <f>VLOOKUP(B101,country_opex,5,FALSE)</f>
        <v/>
      </c>
      <c r="X101" s="38">
        <f>maint</f>
        <v/>
      </c>
      <c r="Y101" s="38">
        <f>VLOOKUP(B101,country_opex,7,FALSE)*ins_pct</f>
        <v/>
      </c>
      <c r="Z101" s="38">
        <f>charge_berth</f>
        <v/>
      </c>
      <c r="AA101" s="38">
        <f>U101+V101+W101+X101+Y101+Z101</f>
        <v/>
      </c>
      <c r="AB101" s="38">
        <f>VLOOKUP(B101,country_opex,7,FALSE)/dep_years</f>
        <v/>
      </c>
      <c r="AC101" s="38">
        <f>T101-AA101</f>
        <v/>
      </c>
      <c r="AD101" s="35">
        <f>IF(T101=0,"",AC101/T101)</f>
        <v/>
      </c>
      <c r="AE101" s="36">
        <f>IF(AC101&lt;=0,"",VLOOKUP(B101,country_opex,7,FALSE)/AC101)</f>
        <v/>
      </c>
      <c r="AF101" s="33">
        <f>((D101*O101/diesel_nmpg)*diesel_co2pg-(battery/range_nm)*D101*O101*VLOOKUP(B101,country_opex,4,FALSE))/1000</f>
        <v/>
      </c>
      <c r="AG101" s="31" t="n">
        <v>112000</v>
      </c>
      <c r="AH101" s="32" t="n"/>
      <c r="AI101" s="32" t="n"/>
      <c r="AJ101" s="39" t="n">
        <v>0.1</v>
      </c>
      <c r="AK101" s="34">
        <f>IF(AG101="","",AG101*AJ101)</f>
        <v/>
      </c>
      <c r="AL101" s="34">
        <f>IF(OR(AG101="",R101=0),"",MIN(IF(AS101="",9.9E+99,AS101),FLOOR(AK101/R101,1)))</f>
        <v/>
      </c>
      <c r="AM101" s="38">
        <f>IF(AL101="","",AL101*T101)</f>
        <v/>
      </c>
      <c r="AN101" s="36">
        <f>IF(OR(AG101="",R101=0),"",MIN(IF(AS101="",9.9E+99,AS101),AK101/R101))</f>
        <v/>
      </c>
      <c r="AO101" s="38">
        <f>IF(AN101="","",AN101*T101)</f>
        <v/>
      </c>
      <c r="AP101" s="40" t="n"/>
      <c r="AQ101" s="41" t="n"/>
      <c r="AR101" s="41" t="n"/>
      <c r="AS101" s="42" t="n"/>
      <c r="AT101" s="43">
        <f>IF(((S101*pax_cap*load_thin*ROUND(K101*L101*revleg_thin,0))-(((battery/range_nm)*D101*ROUND(K101*L101*revleg_thin,0)*VLOOKUP(B101,country_opex,3,FALSE))+V101+W101+X101+Y101+Z101))&lt;=0,"",VLOOKUP(B101,country_opex,7,FALSE)/((S101*pax_cap*load_thin*ROUND(K101*L101*revleg_thin,0))-(((battery/range_nm)*D101*ROUND(K101*L101*revleg_thin,0)*VLOOKUP(B101,country_opex,3,FALSE))+V101+W101+X101+Y101+Z101)))</f>
        <v/>
      </c>
      <c r="AU101" s="43">
        <f>IF(((S101*pax_cap*load_mid*ROUND(K101*L101*revleg_mid,0))-(((battery/range_nm)*D101*ROUND(K101*L101*revleg_mid,0)*VLOOKUP(B101,country_opex,3,FALSE))+V101+W101+X101+Y101+Z101))&lt;=0,"",VLOOKUP(B101,country_opex,7,FALSE)/((S101*pax_cap*load_mid*ROUND(K101*L101*revleg_mid,0))-(((battery/range_nm)*D101*ROUND(K101*L101*revleg_mid,0)*VLOOKUP(B101,country_opex,3,FALSE))+V101+W101+X101+Y101+Z101)))</f>
        <v/>
      </c>
      <c r="AV101" s="43">
        <f>IF(((S101*pax_cap*load_full*ROUND(K101*L101*revleg_full,0))-(((battery/range_nm)*D101*ROUND(K101*L101*revleg_full,0)*VLOOKUP(B101,country_opex,3,FALSE))+V101+W101+X101+Y101+Z101))&lt;=0,"",VLOOKUP(B101,country_opex,7,FALSE)/((S101*pax_cap*load_full*ROUND(K101*L101*revleg_full,0))-(((battery/range_nm)*D101*ROUND(K101*L101*revleg_full,0)*VLOOKUP(B101,country_opex,3,FALSE))+V101+W101+X101+Y101+Z101)))</f>
        <v/>
      </c>
      <c r="AW101" s="44" t="inlineStr">
        <is>
          <t>PREMIUM tier context: Navigazione Laghi 'Escursione Como-Bellagio' EUR 24 adult round-trip (ordinary boat) = ~EUR 12 one-way x 1.08 = ~$13. The fast hydrofoil ('servizio rapido') carries a supplement above this, so $13 is a conservative one-way premium anchor.</t>
        </is>
      </c>
      <c r="AX101" s="44" t="n"/>
    </row>
    <row r="102">
      <c r="A102" s="29" t="inlineStr">
        <is>
          <t>Bolt Italy</t>
        </is>
      </c>
      <c r="B102" s="29" t="inlineStr">
        <is>
          <t>Italy</t>
        </is>
      </c>
      <c r="C102" s="30" t="inlineStr">
        <is>
          <t>Amalfi → Capri</t>
        </is>
      </c>
      <c r="D102" s="31" t="n">
        <v>16</v>
      </c>
      <c r="E102" s="26" t="n">
        <v>33</v>
      </c>
      <c r="F102" s="32" t="inlineStr">
        <is>
          <t>T2</t>
        </is>
      </c>
      <c r="G102" s="32" t="inlineStr">
        <is>
          <t>med</t>
        </is>
      </c>
      <c r="H102" s="19" t="n">
        <v>1</v>
      </c>
      <c r="I102" s="33">
        <f>60*D102/cruise_kt</f>
        <v/>
      </c>
      <c r="J102" s="33">
        <f>I102+turn_min+dwell_min</f>
        <v/>
      </c>
      <c r="K102" s="34">
        <f>MIN(10,FLOOR(60*service_hr/J102,1))</f>
        <v/>
      </c>
      <c r="L102" s="34">
        <f>ROUND(365*mech_uptime*H102,0)</f>
        <v/>
      </c>
      <c r="M102" s="35">
        <f>mech_uptime</f>
        <v/>
      </c>
      <c r="N102" s="35">
        <f>revleg_sel</f>
        <v/>
      </c>
      <c r="O102" s="34">
        <f>ROUND(K102*L102*revleg_sel,0)</f>
        <v/>
      </c>
      <c r="P102" s="36">
        <f>load_sel</f>
        <v/>
      </c>
      <c r="Q102" s="36">
        <f>pax_cap*P102</f>
        <v/>
      </c>
      <c r="R102" s="34">
        <f>Q102*O102</f>
        <v/>
      </c>
      <c r="S102" s="37">
        <f>E102*discount</f>
        <v/>
      </c>
      <c r="T102" s="38">
        <f>S102*R102</f>
        <v/>
      </c>
      <c r="U102" s="38">
        <f>(battery/range_nm)*D102*O102*VLOOKUP(B102,country_opex,3,FALSE)</f>
        <v/>
      </c>
      <c r="V102" s="38">
        <f>VLOOKUP(B102,country_opex,2,FALSE)*crew_factor</f>
        <v/>
      </c>
      <c r="W102" s="38">
        <f>VLOOKUP(B102,country_opex,5,FALSE)</f>
        <v/>
      </c>
      <c r="X102" s="38">
        <f>maint</f>
        <v/>
      </c>
      <c r="Y102" s="38">
        <f>VLOOKUP(B102,country_opex,7,FALSE)*ins_pct</f>
        <v/>
      </c>
      <c r="Z102" s="38">
        <f>charge_berth</f>
        <v/>
      </c>
      <c r="AA102" s="38">
        <f>U102+V102+W102+X102+Y102+Z102</f>
        <v/>
      </c>
      <c r="AB102" s="38">
        <f>VLOOKUP(B102,country_opex,7,FALSE)/dep_years</f>
        <v/>
      </c>
      <c r="AC102" s="38">
        <f>T102-AA102</f>
        <v/>
      </c>
      <c r="AD102" s="35">
        <f>IF(T102=0,"",AC102/T102)</f>
        <v/>
      </c>
      <c r="AE102" s="36">
        <f>IF(AC102&lt;=0,"",VLOOKUP(B102,country_opex,7,FALSE)/AC102)</f>
        <v/>
      </c>
      <c r="AF102" s="33">
        <f>((D102*O102/diesel_nmpg)*diesel_co2pg-(battery/range_nm)*D102*O102*VLOOKUP(B102,country_opex,4,FALSE))/1000</f>
        <v/>
      </c>
      <c r="AG102" s="31" t="n">
        <v>138000</v>
      </c>
      <c r="AH102" s="32" t="n"/>
      <c r="AI102" s="32" t="n"/>
      <c r="AJ102" s="39" t="n">
        <v>0.1</v>
      </c>
      <c r="AK102" s="34">
        <f>IF(AG102="","",AG102*AJ102)</f>
        <v/>
      </c>
      <c r="AL102" s="34">
        <f>IF(OR(AG102="",R102=0),"",MIN(IF(AS102="",9.9E+99,AS102),FLOOR(AK102/R102,1)))</f>
        <v/>
      </c>
      <c r="AM102" s="38">
        <f>IF(AL102="","",AL102*T102)</f>
        <v/>
      </c>
      <c r="AN102" s="36">
        <f>IF(OR(AG102="",R102=0),"",MIN(IF(AS102="",9.9E+99,AS102),AK102/R102))</f>
        <v/>
      </c>
      <c r="AO102" s="38">
        <f>IF(AN102="","",AN102*T102)</f>
        <v/>
      </c>
      <c r="AP102" s="40" t="n"/>
      <c r="AQ102" s="41" t="n"/>
      <c r="AR102" s="41" t="n"/>
      <c r="AS102" s="42" t="n"/>
      <c r="AT102" s="43">
        <f>IF(((S102*pax_cap*load_thin*ROUND(K102*L102*revleg_thin,0))-(((battery/range_nm)*D102*ROUND(K102*L102*revleg_thin,0)*VLOOKUP(B102,country_opex,3,FALSE))+V102+W102+X102+Y102+Z102))&lt;=0,"",VLOOKUP(B102,country_opex,7,FALSE)/((S102*pax_cap*load_thin*ROUND(K102*L102*revleg_thin,0))-(((battery/range_nm)*D102*ROUND(K102*L102*revleg_thin,0)*VLOOKUP(B102,country_opex,3,FALSE))+V102+W102+X102+Y102+Z102)))</f>
        <v/>
      </c>
      <c r="AU102" s="43">
        <f>IF(((S102*pax_cap*load_mid*ROUND(K102*L102*revleg_mid,0))-(((battery/range_nm)*D102*ROUND(K102*L102*revleg_mid,0)*VLOOKUP(B102,country_opex,3,FALSE))+V102+W102+X102+Y102+Z102))&lt;=0,"",VLOOKUP(B102,country_opex,7,FALSE)/((S102*pax_cap*load_mid*ROUND(K102*L102*revleg_mid,0))-(((battery/range_nm)*D102*ROUND(K102*L102*revleg_mid,0)*VLOOKUP(B102,country_opex,3,FALSE))+V102+W102+X102+Y102+Z102)))</f>
        <v/>
      </c>
      <c r="AV102" s="43">
        <f>IF(((S102*pax_cap*load_full*ROUND(K102*L102*revleg_full,0))-(((battery/range_nm)*D102*ROUND(K102*L102*revleg_full,0)*VLOOKUP(B102,country_opex,3,FALSE))+V102+W102+X102+Y102+Z102))&lt;=0,"",VLOOKUP(B102,country_opex,7,FALSE)/((S102*pax_cap*load_full*ROUND(K102*L102*revleg_full,0))-(((battery/range_nm)*D102*ROUND(K102*L102*revleg_full,0)*VLOOKUP(B102,country_opex,3,FALSE))+V102+W102+X102+Y102+Z102)))</f>
        <v/>
      </c>
      <c r="AW102" s="44" t="inlineStr">
        <is>
          <t>PREMIUM scheduled per-seat: Amalfi-&gt;Capri fast ferry ~EUR 26-28 one-way (capri.com) + EUR 5 Capri landing = ~EUR 31-33 x 1.08 = ~$33.</t>
        </is>
      </c>
      <c r="AX102" s="44" t="n"/>
    </row>
    <row r="103">
      <c r="A103" s="29" t="inlineStr">
        <is>
          <t>Bolt Italy</t>
        </is>
      </c>
      <c r="B103" s="29" t="inlineStr">
        <is>
          <t>Italy</t>
        </is>
      </c>
      <c r="C103" s="30" t="inlineStr">
        <is>
          <t>Naples → Sorrento</t>
        </is>
      </c>
      <c r="D103" s="31" t="n">
        <v>16</v>
      </c>
      <c r="E103" s="26" t="n"/>
      <c r="F103" s="32" t="n"/>
      <c r="G103" s="32" t="n"/>
      <c r="H103" s="19" t="n">
        <v>1</v>
      </c>
      <c r="I103" s="33">
        <f>60*D103/cruise_kt</f>
        <v/>
      </c>
      <c r="J103" s="33">
        <f>I103+turn_min+dwell_min</f>
        <v/>
      </c>
      <c r="K103" s="34">
        <f>MIN(16,FLOOR(60*service_hr/J103,1))</f>
        <v/>
      </c>
      <c r="L103" s="34">
        <f>ROUND(365*mech_uptime*H103,0)</f>
        <v/>
      </c>
      <c r="M103" s="35">
        <f>mech_uptime</f>
        <v/>
      </c>
      <c r="N103" s="35">
        <f>revleg_sel</f>
        <v/>
      </c>
      <c r="O103" s="34">
        <f>ROUND(K103*L103*revleg_sel,0)</f>
        <v/>
      </c>
      <c r="P103" s="36">
        <f>load_sel</f>
        <v/>
      </c>
      <c r="Q103" s="36">
        <f>pax_cap*P103</f>
        <v/>
      </c>
      <c r="R103" s="34">
        <f>Q103*O103</f>
        <v/>
      </c>
      <c r="S103" s="37">
        <f>E103*discount</f>
        <v/>
      </c>
      <c r="T103" s="38">
        <f>S103*R103</f>
        <v/>
      </c>
      <c r="U103" s="38">
        <f>(battery/range_nm)*D103*O103*VLOOKUP(B103,country_opex,3,FALSE)</f>
        <v/>
      </c>
      <c r="V103" s="38">
        <f>VLOOKUP(B103,country_opex,2,FALSE)*crew_factor</f>
        <v/>
      </c>
      <c r="W103" s="38">
        <f>VLOOKUP(B103,country_opex,5,FALSE)</f>
        <v/>
      </c>
      <c r="X103" s="38">
        <f>maint</f>
        <v/>
      </c>
      <c r="Y103" s="38">
        <f>VLOOKUP(B103,country_opex,7,FALSE)*ins_pct</f>
        <v/>
      </c>
      <c r="Z103" s="38">
        <f>charge_berth</f>
        <v/>
      </c>
      <c r="AA103" s="38">
        <f>U103+V103+W103+X103+Y103+Z103</f>
        <v/>
      </c>
      <c r="AB103" s="38">
        <f>VLOOKUP(B103,country_opex,7,FALSE)/dep_years</f>
        <v/>
      </c>
      <c r="AC103" s="38">
        <f>T103-AA103</f>
        <v/>
      </c>
      <c r="AD103" s="35">
        <f>IF(T103=0,"",AC103/T103)</f>
        <v/>
      </c>
      <c r="AE103" s="36">
        <f>IF(AC103&lt;=0,"",VLOOKUP(B103,country_opex,7,FALSE)/AC103)</f>
        <v/>
      </c>
      <c r="AF103" s="33">
        <f>((D103*O103/diesel_nmpg)*diesel_co2pg-(battery/range_nm)*D103*O103*VLOOKUP(B103,country_opex,4,FALSE))/1000</f>
        <v/>
      </c>
      <c r="AG103" s="31" t="n">
        <v>200000</v>
      </c>
      <c r="AH103" s="32" t="n"/>
      <c r="AI103" s="32" t="n"/>
      <c r="AJ103" s="39" t="n">
        <v>0.1</v>
      </c>
      <c r="AK103" s="34">
        <f>IF(AG103="","",AG103*AJ103)</f>
        <v/>
      </c>
      <c r="AL103" s="34">
        <f>IF(OR(AG103="",R103=0),"",MIN(IF(AS103="",9.9E+99,AS103),FLOOR(AK103/R103,1)))</f>
        <v/>
      </c>
      <c r="AM103" s="38">
        <f>IF(AL103="","",AL103*T103)</f>
        <v/>
      </c>
      <c r="AN103" s="36">
        <f>IF(OR(AG103="",R103=0),"",MIN(IF(AS103="",9.9E+99,AS103),AK103/R103))</f>
        <v/>
      </c>
      <c r="AO103" s="38">
        <f>IF(AN103="","",AN103*T103)</f>
        <v/>
      </c>
      <c r="AP103" s="40" t="n"/>
      <c r="AQ103" s="41" t="n"/>
      <c r="AR103" s="41" t="n"/>
      <c r="AS103" s="42" t="n"/>
      <c r="AT103" s="43">
        <f>IF(((S103*pax_cap*load_thin*ROUND(K103*L103*revleg_thin,0))-(((battery/range_nm)*D103*ROUND(K103*L103*revleg_thin,0)*VLOOKUP(B103,country_opex,3,FALSE))+V103+W103+X103+Y103+Z103))&lt;=0,"",VLOOKUP(B103,country_opex,7,FALSE)/((S103*pax_cap*load_thin*ROUND(K103*L103*revleg_thin,0))-(((battery/range_nm)*D103*ROUND(K103*L103*revleg_thin,0)*VLOOKUP(B103,country_opex,3,FALSE))+V103+W103+X103+Y103+Z103)))</f>
        <v/>
      </c>
      <c r="AU103" s="43">
        <f>IF(((S103*pax_cap*load_mid*ROUND(K103*L103*revleg_mid,0))-(((battery/range_nm)*D103*ROUND(K103*L103*revleg_mid,0)*VLOOKUP(B103,country_opex,3,FALSE))+V103+W103+X103+Y103+Z103))&lt;=0,"",VLOOKUP(B103,country_opex,7,FALSE)/((S103*pax_cap*load_mid*ROUND(K103*L103*revleg_mid,0))-(((battery/range_nm)*D103*ROUND(K103*L103*revleg_mid,0)*VLOOKUP(B103,country_opex,3,FALSE))+V103+W103+X103+Y103+Z103)))</f>
        <v/>
      </c>
      <c r="AV103" s="43">
        <f>IF(((S103*pax_cap*load_full*ROUND(K103*L103*revleg_full,0))-(((battery/range_nm)*D103*ROUND(K103*L103*revleg_full,0)*VLOOKUP(B103,country_opex,3,FALSE))+V103+W103+X103+Y103+Z103))&lt;=0,"",VLOOKUP(B103,country_opex,7,FALSE)/((S103*pax_cap*load_full*ROUND(K103*L103*revleg_full,0))-(((battery/range_nm)*D103*ROUND(K103*L103*revleg_full,0)*VLOOKUP(B103,country_opex,3,FALSE))+V103+W103+X103+Y103+Z103)))</f>
        <v/>
      </c>
      <c r="AW103" s="44" t="n"/>
      <c r="AX103" s="44" t="n"/>
    </row>
    <row r="104">
      <c r="A104" s="29" t="inlineStr">
        <is>
          <t>Bolt Italy</t>
        </is>
      </c>
      <c r="B104" s="29" t="inlineStr">
        <is>
          <t>Italy</t>
        </is>
      </c>
      <c r="C104" s="30" t="inlineStr">
        <is>
          <t>Naples → Capri</t>
        </is>
      </c>
      <c r="D104" s="31" t="n">
        <v>17</v>
      </c>
      <c r="E104" s="26" t="n">
        <v>32</v>
      </c>
      <c r="F104" s="32" t="inlineStr">
        <is>
          <t>T2</t>
        </is>
      </c>
      <c r="G104" s="32" t="inlineStr">
        <is>
          <t>med</t>
        </is>
      </c>
      <c r="H104" s="19" t="n">
        <v>1</v>
      </c>
      <c r="I104" s="33">
        <f>60*D104/cruise_kt</f>
        <v/>
      </c>
      <c r="J104" s="33">
        <f>I104+turn_min+dwell_min</f>
        <v/>
      </c>
      <c r="K104" s="34">
        <f>MIN(10,FLOOR(60*service_hr/J104,1))</f>
        <v/>
      </c>
      <c r="L104" s="34">
        <f>ROUND(365*mech_uptime*H104,0)</f>
        <v/>
      </c>
      <c r="M104" s="35">
        <f>mech_uptime</f>
        <v/>
      </c>
      <c r="N104" s="35">
        <f>revleg_sel</f>
        <v/>
      </c>
      <c r="O104" s="34">
        <f>ROUND(K104*L104*revleg_sel,0)</f>
        <v/>
      </c>
      <c r="P104" s="36">
        <f>load_sel</f>
        <v/>
      </c>
      <c r="Q104" s="36">
        <f>pax_cap*P104</f>
        <v/>
      </c>
      <c r="R104" s="34">
        <f>Q104*O104</f>
        <v/>
      </c>
      <c r="S104" s="37">
        <f>E104*discount</f>
        <v/>
      </c>
      <c r="T104" s="38">
        <f>S104*R104</f>
        <v/>
      </c>
      <c r="U104" s="38">
        <f>(battery/range_nm)*D104*O104*VLOOKUP(B104,country_opex,3,FALSE)</f>
        <v/>
      </c>
      <c r="V104" s="38">
        <f>VLOOKUP(B104,country_opex,2,FALSE)*crew_factor</f>
        <v/>
      </c>
      <c r="W104" s="38">
        <f>VLOOKUP(B104,country_opex,5,FALSE)</f>
        <v/>
      </c>
      <c r="X104" s="38">
        <f>maint</f>
        <v/>
      </c>
      <c r="Y104" s="38">
        <f>VLOOKUP(B104,country_opex,7,FALSE)*ins_pct</f>
        <v/>
      </c>
      <c r="Z104" s="38">
        <f>charge_berth</f>
        <v/>
      </c>
      <c r="AA104" s="38">
        <f>U104+V104+W104+X104+Y104+Z104</f>
        <v/>
      </c>
      <c r="AB104" s="38">
        <f>VLOOKUP(B104,country_opex,7,FALSE)/dep_years</f>
        <v/>
      </c>
      <c r="AC104" s="38">
        <f>T104-AA104</f>
        <v/>
      </c>
      <c r="AD104" s="35">
        <f>IF(T104=0,"",AC104/T104)</f>
        <v/>
      </c>
      <c r="AE104" s="36">
        <f>IF(AC104&lt;=0,"",VLOOKUP(B104,country_opex,7,FALSE)/AC104)</f>
        <v/>
      </c>
      <c r="AF104" s="33">
        <f>((D104*O104/diesel_nmpg)*diesel_co2pg-(battery/range_nm)*D104*O104*VLOOKUP(B104,country_opex,4,FALSE))/1000</f>
        <v/>
      </c>
      <c r="AG104" s="31" t="n">
        <v>1265000</v>
      </c>
      <c r="AH104" s="32" t="n"/>
      <c r="AI104" s="32" t="n"/>
      <c r="AJ104" s="39" t="n">
        <v>0.1</v>
      </c>
      <c r="AK104" s="34">
        <f>IF(AG104="","",AG104*AJ104)</f>
        <v/>
      </c>
      <c r="AL104" s="34">
        <f>IF(OR(AG104="",R104=0),"",MIN(IF(AS104="",9.9E+99,AS104),FLOOR(AK104/R104,1)))</f>
        <v/>
      </c>
      <c r="AM104" s="38">
        <f>IF(AL104="","",AL104*T104)</f>
        <v/>
      </c>
      <c r="AN104" s="36">
        <f>IF(OR(AG104="",R104=0),"",MIN(IF(AS104="",9.9E+99,AS104),AK104/R104))</f>
        <v/>
      </c>
      <c r="AO104" s="38">
        <f>IF(AN104="","",AN104*T104)</f>
        <v/>
      </c>
      <c r="AP104" s="40" t="n"/>
      <c r="AQ104" s="41" t="n"/>
      <c r="AR104" s="41" t="n"/>
      <c r="AS104" s="42" t="n"/>
      <c r="AT104" s="43">
        <f>IF(((S104*pax_cap*load_thin*ROUND(K104*L104*revleg_thin,0))-(((battery/range_nm)*D104*ROUND(K104*L104*revleg_thin,0)*VLOOKUP(B104,country_opex,3,FALSE))+V104+W104+X104+Y104+Z104))&lt;=0,"",VLOOKUP(B104,country_opex,7,FALSE)/((S104*pax_cap*load_thin*ROUND(K104*L104*revleg_thin,0))-(((battery/range_nm)*D104*ROUND(K104*L104*revleg_thin,0)*VLOOKUP(B104,country_opex,3,FALSE))+V104+W104+X104+Y104+Z104)))</f>
        <v/>
      </c>
      <c r="AU104" s="43">
        <f>IF(((S104*pax_cap*load_mid*ROUND(K104*L104*revleg_mid,0))-(((battery/range_nm)*D104*ROUND(K104*L104*revleg_mid,0)*VLOOKUP(B104,country_opex,3,FALSE))+V104+W104+X104+Y104+Z104))&lt;=0,"",VLOOKUP(B104,country_opex,7,FALSE)/((S104*pax_cap*load_mid*ROUND(K104*L104*revleg_mid,0))-(((battery/range_nm)*D104*ROUND(K104*L104*revleg_mid,0)*VLOOKUP(B104,country_opex,3,FALSE))+V104+W104+X104+Y104+Z104)))</f>
        <v/>
      </c>
      <c r="AV104" s="43">
        <f>IF(((S104*pax_cap*load_full*ROUND(K104*L104*revleg_full,0))-(((battery/range_nm)*D104*ROUND(K104*L104*revleg_full,0)*VLOOKUP(B104,country_opex,3,FALSE))+V104+W104+X104+Y104+Z104))&lt;=0,"",VLOOKUP(B104,country_opex,7,FALSE)/((S104*pax_cap*load_full*ROUND(K104*L104*revleg_full,0))-(((battery/range_nm)*D104*ROUND(K104*L104*revleg_full,0)*VLOOKUP(B104,country_opex,3,FALSE))+V104+W104+X104+Y104+Z104)))</f>
        <v/>
      </c>
      <c r="AW104" s="44" t="inlineStr">
        <is>
          <t>PREMIUM scheduled per-seat: NLG/SNAV/Caremar fast aliscafo Napoli(Beverello)-&gt;Capri ~EUR 25 one-way + EUR 5 Capri landing contribution (Apr-Oct) = ~EUR 30 x 1.08 = ~$32. (Ferryhopper shows Naples-Capri from ~EUR 20; aliscafo tier ~EUR 23-27.)</t>
        </is>
      </c>
      <c r="AX104" s="44" t="n"/>
    </row>
    <row r="105">
      <c r="A105" s="29" t="inlineStr">
        <is>
          <t>Bolt Italy</t>
        </is>
      </c>
      <c r="B105" s="29" t="inlineStr">
        <is>
          <t>Italy</t>
        </is>
      </c>
      <c r="C105" s="30" t="inlineStr">
        <is>
          <t>Naples → Ischia</t>
        </is>
      </c>
      <c r="D105" s="31" t="n">
        <v>18</v>
      </c>
      <c r="E105" s="26" t="n">
        <v>25</v>
      </c>
      <c r="F105" s="32" t="inlineStr">
        <is>
          <t>T2</t>
        </is>
      </c>
      <c r="G105" s="32" t="inlineStr">
        <is>
          <t>med</t>
        </is>
      </c>
      <c r="H105" s="19" t="n">
        <v>1</v>
      </c>
      <c r="I105" s="33">
        <f>60*D105/cruise_kt</f>
        <v/>
      </c>
      <c r="J105" s="33">
        <f>I105+turn_min+dwell_min</f>
        <v/>
      </c>
      <c r="K105" s="34">
        <f>MIN(10,FLOOR(60*service_hr/J105,1))</f>
        <v/>
      </c>
      <c r="L105" s="34">
        <f>ROUND(365*mech_uptime*H105,0)</f>
        <v/>
      </c>
      <c r="M105" s="35">
        <f>mech_uptime</f>
        <v/>
      </c>
      <c r="N105" s="35">
        <f>revleg_sel</f>
        <v/>
      </c>
      <c r="O105" s="34">
        <f>ROUND(K105*L105*revleg_sel,0)</f>
        <v/>
      </c>
      <c r="P105" s="36">
        <f>load_sel</f>
        <v/>
      </c>
      <c r="Q105" s="36">
        <f>pax_cap*P105</f>
        <v/>
      </c>
      <c r="R105" s="34">
        <f>Q105*O105</f>
        <v/>
      </c>
      <c r="S105" s="37">
        <f>E105*discount</f>
        <v/>
      </c>
      <c r="T105" s="38">
        <f>S105*R105</f>
        <v/>
      </c>
      <c r="U105" s="38">
        <f>(battery/range_nm)*D105*O105*VLOOKUP(B105,country_opex,3,FALSE)</f>
        <v/>
      </c>
      <c r="V105" s="38">
        <f>VLOOKUP(B105,country_opex,2,FALSE)*crew_factor</f>
        <v/>
      </c>
      <c r="W105" s="38">
        <f>VLOOKUP(B105,country_opex,5,FALSE)</f>
        <v/>
      </c>
      <c r="X105" s="38">
        <f>maint</f>
        <v/>
      </c>
      <c r="Y105" s="38">
        <f>VLOOKUP(B105,country_opex,7,FALSE)*ins_pct</f>
        <v/>
      </c>
      <c r="Z105" s="38">
        <f>charge_berth</f>
        <v/>
      </c>
      <c r="AA105" s="38">
        <f>U105+V105+W105+X105+Y105+Z105</f>
        <v/>
      </c>
      <c r="AB105" s="38">
        <f>VLOOKUP(B105,country_opex,7,FALSE)/dep_years</f>
        <v/>
      </c>
      <c r="AC105" s="38">
        <f>T105-AA105</f>
        <v/>
      </c>
      <c r="AD105" s="35">
        <f>IF(T105=0,"",AC105/T105)</f>
        <v/>
      </c>
      <c r="AE105" s="36">
        <f>IF(AC105&lt;=0,"",VLOOKUP(B105,country_opex,7,FALSE)/AC105)</f>
        <v/>
      </c>
      <c r="AF105" s="33">
        <f>((D105*O105/diesel_nmpg)*diesel_co2pg-(battery/range_nm)*D105*O105*VLOOKUP(B105,country_opex,4,FALSE))/1000</f>
        <v/>
      </c>
      <c r="AG105" s="31" t="n">
        <v>675000</v>
      </c>
      <c r="AH105" s="32" t="n"/>
      <c r="AI105" s="32" t="n"/>
      <c r="AJ105" s="39" t="n">
        <v>0.1</v>
      </c>
      <c r="AK105" s="34">
        <f>IF(AG105="","",AG105*AJ105)</f>
        <v/>
      </c>
      <c r="AL105" s="34">
        <f>IF(OR(AG105="",R105=0),"",MIN(IF(AS105="",9.9E+99,AS105),FLOOR(AK105/R105,1)))</f>
        <v/>
      </c>
      <c r="AM105" s="38">
        <f>IF(AL105="","",AL105*T105)</f>
        <v/>
      </c>
      <c r="AN105" s="36">
        <f>IF(OR(AG105="",R105=0),"",MIN(IF(AS105="",9.9E+99,AS105),AK105/R105))</f>
        <v/>
      </c>
      <c r="AO105" s="38">
        <f>IF(AN105="","",AN105*T105)</f>
        <v/>
      </c>
      <c r="AP105" s="40" t="n"/>
      <c r="AQ105" s="41" t="n"/>
      <c r="AR105" s="41" t="n"/>
      <c r="AS105" s="42" t="n"/>
      <c r="AT105" s="43">
        <f>IF(((S105*pax_cap*load_thin*ROUND(K105*L105*revleg_thin,0))-(((battery/range_nm)*D105*ROUND(K105*L105*revleg_thin,0)*VLOOKUP(B105,country_opex,3,FALSE))+V105+W105+X105+Y105+Z105))&lt;=0,"",VLOOKUP(B105,country_opex,7,FALSE)/((S105*pax_cap*load_thin*ROUND(K105*L105*revleg_thin,0))-(((battery/range_nm)*D105*ROUND(K105*L105*revleg_thin,0)*VLOOKUP(B105,country_opex,3,FALSE))+V105+W105+X105+Y105+Z105)))</f>
        <v/>
      </c>
      <c r="AU105" s="43">
        <f>IF(((S105*pax_cap*load_mid*ROUND(K105*L105*revleg_mid,0))-(((battery/range_nm)*D105*ROUND(K105*L105*revleg_mid,0)*VLOOKUP(B105,country_opex,3,FALSE))+V105+W105+X105+Y105+Z105))&lt;=0,"",VLOOKUP(B105,country_opex,7,FALSE)/((S105*pax_cap*load_mid*ROUND(K105*L105*revleg_mid,0))-(((battery/range_nm)*D105*ROUND(K105*L105*revleg_mid,0)*VLOOKUP(B105,country_opex,3,FALSE))+V105+W105+X105+Y105+Z105)))</f>
        <v/>
      </c>
      <c r="AV105" s="43">
        <f>IF(((S105*pax_cap*load_full*ROUND(K105*L105*revleg_full,0))-(((battery/range_nm)*D105*ROUND(K105*L105*revleg_full,0)*VLOOKUP(B105,country_opex,3,FALSE))+V105+W105+X105+Y105+Z105))&lt;=0,"",VLOOKUP(B105,country_opex,7,FALSE)/((S105*pax_cap*load_full*ROUND(K105*L105*revleg_full,0))-(((battery/range_nm)*D105*ROUND(K105*L105*revleg_full,0)*VLOOKUP(B105,country_opex,3,FALSE))+V105+W105+X105+Y105+Z105)))</f>
        <v/>
      </c>
      <c r="AW105" s="44" t="inlineStr">
        <is>
          <t>PREMIUM scheduled per-seat = Alilauro/Caremar fast aliscafo Napoli(Beverello)-&gt;Ischia ~EUR 22-23 one-way (Alilauro EUR 22.20; Caremar EUR 20.40) x 1.08 = ~$25. (No island landing fee like Capri.)</t>
        </is>
      </c>
      <c r="AX105" s="44" t="n"/>
    </row>
    <row r="106">
      <c r="A106" s="29" t="inlineStr">
        <is>
          <t>Bolt Italy</t>
        </is>
      </c>
      <c r="B106" s="29" t="inlineStr">
        <is>
          <t>Italy</t>
        </is>
      </c>
      <c r="C106" s="30" t="inlineStr">
        <is>
          <t>Portofino → Cinque Terre</t>
        </is>
      </c>
      <c r="D106" s="31" t="n">
        <v>22</v>
      </c>
      <c r="E106" s="26" t="n">
        <v>37.8</v>
      </c>
      <c r="F106" s="32" t="inlineStr">
        <is>
          <t>T2</t>
        </is>
      </c>
      <c r="G106" s="32" t="inlineStr">
        <is>
          <t>med</t>
        </is>
      </c>
      <c r="H106" s="19" t="n">
        <v>1</v>
      </c>
      <c r="I106" s="33">
        <f>60*D106/cruise_kt</f>
        <v/>
      </c>
      <c r="J106" s="33">
        <f>I106+turn_min+dwell_min</f>
        <v/>
      </c>
      <c r="K106" s="34">
        <f>MIN(10,FLOOR(60*service_hr/J106,1))</f>
        <v/>
      </c>
      <c r="L106" s="34">
        <f>ROUND(365*mech_uptime*H106,0)</f>
        <v/>
      </c>
      <c r="M106" s="35">
        <f>mech_uptime</f>
        <v/>
      </c>
      <c r="N106" s="35">
        <f>revleg_sel</f>
        <v/>
      </c>
      <c r="O106" s="34">
        <f>ROUND(K106*L106*revleg_sel,0)</f>
        <v/>
      </c>
      <c r="P106" s="36">
        <f>load_sel</f>
        <v/>
      </c>
      <c r="Q106" s="36">
        <f>pax_cap*P106</f>
        <v/>
      </c>
      <c r="R106" s="34">
        <f>Q106*O106</f>
        <v/>
      </c>
      <c r="S106" s="37">
        <f>E106*discount</f>
        <v/>
      </c>
      <c r="T106" s="38">
        <f>S106*R106</f>
        <v/>
      </c>
      <c r="U106" s="38">
        <f>(battery/range_nm)*D106*O106*VLOOKUP(B106,country_opex,3,FALSE)</f>
        <v/>
      </c>
      <c r="V106" s="38">
        <f>VLOOKUP(B106,country_opex,2,FALSE)*crew_factor</f>
        <v/>
      </c>
      <c r="W106" s="38">
        <f>VLOOKUP(B106,country_opex,5,FALSE)</f>
        <v/>
      </c>
      <c r="X106" s="38">
        <f>maint</f>
        <v/>
      </c>
      <c r="Y106" s="38">
        <f>VLOOKUP(B106,country_opex,7,FALSE)*ins_pct</f>
        <v/>
      </c>
      <c r="Z106" s="38">
        <f>charge_berth</f>
        <v/>
      </c>
      <c r="AA106" s="38">
        <f>U106+V106+W106+X106+Y106+Z106</f>
        <v/>
      </c>
      <c r="AB106" s="38">
        <f>VLOOKUP(B106,country_opex,7,FALSE)/dep_years</f>
        <v/>
      </c>
      <c r="AC106" s="38">
        <f>T106-AA106</f>
        <v/>
      </c>
      <c r="AD106" s="35">
        <f>IF(T106=0,"",AC106/T106)</f>
        <v/>
      </c>
      <c r="AE106" s="36">
        <f>IF(AC106&lt;=0,"",VLOOKUP(B106,country_opex,7,FALSE)/AC106)</f>
        <v/>
      </c>
      <c r="AF106" s="33">
        <f>((D106*O106/diesel_nmpg)*diesel_co2pg-(battery/range_nm)*D106*O106*VLOOKUP(B106,country_opex,4,FALSE))/1000</f>
        <v/>
      </c>
      <c r="AG106" s="31" t="n">
        <v>40000</v>
      </c>
      <c r="AH106" s="32" t="n"/>
      <c r="AI106" s="32" t="n"/>
      <c r="AJ106" s="39" t="n">
        <v>0.1</v>
      </c>
      <c r="AK106" s="34">
        <f>IF(AG106="","",AG106*AJ106)</f>
        <v/>
      </c>
      <c r="AL106" s="34">
        <f>IF(OR(AG106="",R106=0),"",MIN(IF(AS106="",9.9E+99,AS106),FLOOR(AK106/R106,1)))</f>
        <v/>
      </c>
      <c r="AM106" s="38">
        <f>IF(AL106="","",AL106*T106)</f>
        <v/>
      </c>
      <c r="AN106" s="36">
        <f>IF(OR(AG106="",R106=0),"",MIN(IF(AS106="",9.9E+99,AS106),AK106/R106))</f>
        <v/>
      </c>
      <c r="AO106" s="38">
        <f>IF(AN106="","",AN106*T106)</f>
        <v/>
      </c>
      <c r="AP106" s="40" t="n"/>
      <c r="AQ106" s="41" t="n"/>
      <c r="AR106" s="41" t="n"/>
      <c r="AS106" s="42" t="n"/>
      <c r="AT106" s="43">
        <f>IF(((S106*pax_cap*load_thin*ROUND(K106*L106*revleg_thin,0))-(((battery/range_nm)*D106*ROUND(K106*L106*revleg_thin,0)*VLOOKUP(B106,country_opex,3,FALSE))+V106+W106+X106+Y106+Z106))&lt;=0,"",VLOOKUP(B106,country_opex,7,FALSE)/((S106*pax_cap*load_thin*ROUND(K106*L106*revleg_thin,0))-(((battery/range_nm)*D106*ROUND(K106*L106*revleg_thin,0)*VLOOKUP(B106,country_opex,3,FALSE))+V106+W106+X106+Y106+Z106)))</f>
        <v/>
      </c>
      <c r="AU106" s="43">
        <f>IF(((S106*pax_cap*load_mid*ROUND(K106*L106*revleg_mid,0))-(((battery/range_nm)*D106*ROUND(K106*L106*revleg_mid,0)*VLOOKUP(B106,country_opex,3,FALSE))+V106+W106+X106+Y106+Z106))&lt;=0,"",VLOOKUP(B106,country_opex,7,FALSE)/((S106*pax_cap*load_mid*ROUND(K106*L106*revleg_mid,0))-(((battery/range_nm)*D106*ROUND(K106*L106*revleg_mid,0)*VLOOKUP(B106,country_opex,3,FALSE))+V106+W106+X106+Y106+Z106)))</f>
        <v/>
      </c>
      <c r="AV106" s="43">
        <f>IF(((S106*pax_cap*load_full*ROUND(K106*L106*revleg_full,0))-(((battery/range_nm)*D106*ROUND(K106*L106*revleg_full,0)*VLOOKUP(B106,country_opex,3,FALSE))+V106+W106+X106+Y106+Z106))&lt;=0,"",VLOOKUP(B106,country_opex,7,FALSE)/((S106*pax_cap*load_full*ROUND(K106*L106*revleg_full,0))-(((battery/range_nm)*D106*ROUND(K106*L106*revleg_full,0)*VLOOKUP(B106,country_opex,3,FALSE))+V106+W106+X106+Y106+Z106)))</f>
        <v/>
      </c>
      <c r="AW106" s="44" t="inlineStr">
        <is>
          <t>PREMIUM scheduled per-seat: Golfo Paradiso Portofino-&gt;Cinque Terre EUR 35 one-way (A/R EUR 50) x 1.08 = ~$37.8.</t>
        </is>
      </c>
      <c r="AX106" s="44" t="n"/>
    </row>
    <row r="107">
      <c r="A107" s="29" t="inlineStr">
        <is>
          <t>Bolt Lebanon</t>
        </is>
      </c>
      <c r="B107" s="29" t="inlineStr">
        <is>
          <t>Lebanon</t>
        </is>
      </c>
      <c r="C107" s="30" t="inlineStr">
        <is>
          <t>Jounieh → Byblos (Jbeil)</t>
        </is>
      </c>
      <c r="D107" s="31" t="n">
        <v>8.4</v>
      </c>
      <c r="E107" s="26" t="n">
        <v>55</v>
      </c>
      <c r="F107" s="32" t="inlineStr">
        <is>
          <t>T2</t>
        </is>
      </c>
      <c r="G107" s="32" t="inlineStr">
        <is>
          <t>med</t>
        </is>
      </c>
      <c r="H107" s="19" t="n">
        <v>1</v>
      </c>
      <c r="I107" s="33">
        <f>60*D107/cruise_kt</f>
        <v/>
      </c>
      <c r="J107" s="33">
        <f>I107+turn_min+dwell_min</f>
        <v/>
      </c>
      <c r="K107" s="34">
        <f>MIN(16,FLOOR(60*service_hr/J107,1))</f>
        <v/>
      </c>
      <c r="L107" s="34">
        <f>ROUND(365*mech_uptime*H107,0)</f>
        <v/>
      </c>
      <c r="M107" s="35">
        <f>mech_uptime</f>
        <v/>
      </c>
      <c r="N107" s="35">
        <f>revleg_sel</f>
        <v/>
      </c>
      <c r="O107" s="34">
        <f>ROUND(K107*L107*revleg_sel,0)</f>
        <v/>
      </c>
      <c r="P107" s="36">
        <f>load_sel</f>
        <v/>
      </c>
      <c r="Q107" s="36">
        <f>pax_cap*P107</f>
        <v/>
      </c>
      <c r="R107" s="34">
        <f>Q107*O107</f>
        <v/>
      </c>
      <c r="S107" s="37">
        <f>E107*discount</f>
        <v/>
      </c>
      <c r="T107" s="38">
        <f>S107*R107</f>
        <v/>
      </c>
      <c r="U107" s="38">
        <f>(battery/range_nm)*D107*O107*VLOOKUP(B107,country_opex,3,FALSE)</f>
        <v/>
      </c>
      <c r="V107" s="38">
        <f>VLOOKUP(B107,country_opex,2,FALSE)*crew_factor</f>
        <v/>
      </c>
      <c r="W107" s="38">
        <f>VLOOKUP(B107,country_opex,5,FALSE)</f>
        <v/>
      </c>
      <c r="X107" s="38">
        <f>maint</f>
        <v/>
      </c>
      <c r="Y107" s="38">
        <f>VLOOKUP(B107,country_opex,7,FALSE)*ins_pct</f>
        <v/>
      </c>
      <c r="Z107" s="38">
        <f>charge_berth</f>
        <v/>
      </c>
      <c r="AA107" s="38">
        <f>U107+V107+W107+X107+Y107+Z107</f>
        <v/>
      </c>
      <c r="AB107" s="38">
        <f>VLOOKUP(B107,country_opex,7,FALSE)/dep_years</f>
        <v/>
      </c>
      <c r="AC107" s="38">
        <f>T107-AA107</f>
        <v/>
      </c>
      <c r="AD107" s="35">
        <f>IF(T107=0,"",AC107/T107)</f>
        <v/>
      </c>
      <c r="AE107" s="36">
        <f>IF(AC107&lt;=0,"",VLOOKUP(B107,country_opex,7,FALSE)/AC107)</f>
        <v/>
      </c>
      <c r="AF107" s="33">
        <f>((D107*O107/diesel_nmpg)*diesel_co2pg-(battery/range_nm)*D107*O107*VLOOKUP(B107,country_opex,4,FALSE))/1000</f>
        <v/>
      </c>
      <c r="AG107" s="31" t="n"/>
      <c r="AH107" s="32" t="n"/>
      <c r="AI107" s="32" t="n"/>
      <c r="AJ107" s="39" t="n">
        <v>0.1</v>
      </c>
      <c r="AK107" s="34">
        <f>IF(AG107="","",AG107*AJ107)</f>
        <v/>
      </c>
      <c r="AL107" s="34">
        <f>IF(OR(AG107="",R107=0),"",MIN(IF(AS107="",9.9E+99,AS107),FLOOR(AK107/R107,1)))</f>
        <v/>
      </c>
      <c r="AM107" s="38">
        <f>IF(AL107="","",AL107*T107)</f>
        <v/>
      </c>
      <c r="AN107" s="36">
        <f>IF(OR(AG107="",R107=0),"",MIN(IF(AS107="",9.9E+99,AS107),AK107/R107))</f>
        <v/>
      </c>
      <c r="AO107" s="38">
        <f>IF(AN107="","",AN107*T107)</f>
        <v/>
      </c>
      <c r="AP107" s="40" t="n"/>
      <c r="AQ107" s="41" t="n"/>
      <c r="AR107" s="41" t="n"/>
      <c r="AS107" s="42" t="n"/>
      <c r="AT107" s="43">
        <f>IF(((S107*pax_cap*load_thin*ROUND(K107*L107*revleg_thin,0))-(((battery/range_nm)*D107*ROUND(K107*L107*revleg_thin,0)*VLOOKUP(B107,country_opex,3,FALSE))+V107+W107+X107+Y107+Z107))&lt;=0,"",VLOOKUP(B107,country_opex,7,FALSE)/((S107*pax_cap*load_thin*ROUND(K107*L107*revleg_thin,0))-(((battery/range_nm)*D107*ROUND(K107*L107*revleg_thin,0)*VLOOKUP(B107,country_opex,3,FALSE))+V107+W107+X107+Y107+Z107)))</f>
        <v/>
      </c>
      <c r="AU107" s="43">
        <f>IF(((S107*pax_cap*load_mid*ROUND(K107*L107*revleg_mid,0))-(((battery/range_nm)*D107*ROUND(K107*L107*revleg_mid,0)*VLOOKUP(B107,country_opex,3,FALSE))+V107+W107+X107+Y107+Z107))&lt;=0,"",VLOOKUP(B107,country_opex,7,FALSE)/((S107*pax_cap*load_mid*ROUND(K107*L107*revleg_mid,0))-(((battery/range_nm)*D107*ROUND(K107*L107*revleg_mid,0)*VLOOKUP(B107,country_opex,3,FALSE))+V107+W107+X107+Y107+Z107)))</f>
        <v/>
      </c>
      <c r="AV107" s="43">
        <f>IF(((S107*pax_cap*load_full*ROUND(K107*L107*revleg_full,0))-(((battery/range_nm)*D107*ROUND(K107*L107*revleg_full,0)*VLOOKUP(B107,country_opex,3,FALSE))+V107+W107+X107+Y107+Z107))&lt;=0,"",VLOOKUP(B107,country_opex,7,FALSE)/((S107*pax_cap*load_full*ROUND(K107*L107*revleg_full,0))-(((battery/range_nm)*D107*ROUND(K107*L107*revleg_full,0)*VLOOKUP(B107,country_opex,3,FALSE))+V107+W107+X107+Y107+Z107)))</f>
        <v/>
      </c>
      <c r="AW107" s="44" t="inlineStr">
        <is>
          <t>PREMIUM/excursion proxy: shared Lebanese-coast sea cruise ~$55/seat (Zingy Ride). No scheduled service.</t>
        </is>
      </c>
      <c r="AX107" s="44" t="n"/>
    </row>
    <row r="108">
      <c r="A108" s="29" t="inlineStr">
        <is>
          <t>Bolt Lebanon</t>
        </is>
      </c>
      <c r="B108" s="29" t="inlineStr">
        <is>
          <t>Lebanon</t>
        </is>
      </c>
      <c r="C108" s="30" t="inlineStr">
        <is>
          <t>Beirut Marina (Zaitunay Bay) → Jounieh</t>
        </is>
      </c>
      <c r="D108" s="31" t="n">
        <v>11</v>
      </c>
      <c r="E108" s="26" t="n">
        <v>55</v>
      </c>
      <c r="F108" s="32" t="inlineStr">
        <is>
          <t>T2</t>
        </is>
      </c>
      <c r="G108" s="32" t="inlineStr">
        <is>
          <t>med</t>
        </is>
      </c>
      <c r="H108" s="19" t="n">
        <v>1</v>
      </c>
      <c r="I108" s="33">
        <f>60*D108/cruise_kt</f>
        <v/>
      </c>
      <c r="J108" s="33">
        <f>I108+turn_min+dwell_min</f>
        <v/>
      </c>
      <c r="K108" s="34">
        <f>MIN(10,FLOOR(60*service_hr/J108,1))</f>
        <v/>
      </c>
      <c r="L108" s="34">
        <f>ROUND(365*mech_uptime*H108,0)</f>
        <v/>
      </c>
      <c r="M108" s="35">
        <f>mech_uptime</f>
        <v/>
      </c>
      <c r="N108" s="35">
        <f>revleg_sel</f>
        <v/>
      </c>
      <c r="O108" s="34">
        <f>ROUND(K108*L108*revleg_sel,0)</f>
        <v/>
      </c>
      <c r="P108" s="36">
        <f>load_sel</f>
        <v/>
      </c>
      <c r="Q108" s="36">
        <f>pax_cap*P108</f>
        <v/>
      </c>
      <c r="R108" s="34">
        <f>Q108*O108</f>
        <v/>
      </c>
      <c r="S108" s="37">
        <f>E108*discount</f>
        <v/>
      </c>
      <c r="T108" s="38">
        <f>S108*R108</f>
        <v/>
      </c>
      <c r="U108" s="38">
        <f>(battery/range_nm)*D108*O108*VLOOKUP(B108,country_opex,3,FALSE)</f>
        <v/>
      </c>
      <c r="V108" s="38">
        <f>VLOOKUP(B108,country_opex,2,FALSE)*crew_factor</f>
        <v/>
      </c>
      <c r="W108" s="38">
        <f>VLOOKUP(B108,country_opex,5,FALSE)</f>
        <v/>
      </c>
      <c r="X108" s="38">
        <f>maint</f>
        <v/>
      </c>
      <c r="Y108" s="38">
        <f>VLOOKUP(B108,country_opex,7,FALSE)*ins_pct</f>
        <v/>
      </c>
      <c r="Z108" s="38">
        <f>charge_berth</f>
        <v/>
      </c>
      <c r="AA108" s="38">
        <f>U108+V108+W108+X108+Y108+Z108</f>
        <v/>
      </c>
      <c r="AB108" s="38">
        <f>VLOOKUP(B108,country_opex,7,FALSE)/dep_years</f>
        <v/>
      </c>
      <c r="AC108" s="38">
        <f>T108-AA108</f>
        <v/>
      </c>
      <c r="AD108" s="35">
        <f>IF(T108=0,"",AC108/T108)</f>
        <v/>
      </c>
      <c r="AE108" s="36">
        <f>IF(AC108&lt;=0,"",VLOOKUP(B108,country_opex,7,FALSE)/AC108)</f>
        <v/>
      </c>
      <c r="AF108" s="33">
        <f>((D108*O108/diesel_nmpg)*diesel_co2pg-(battery/range_nm)*D108*O108*VLOOKUP(B108,country_opex,4,FALSE))/1000</f>
        <v/>
      </c>
      <c r="AG108" s="31" t="n">
        <v>6132000</v>
      </c>
      <c r="AH108" s="32" t="n"/>
      <c r="AI108" s="32" t="n"/>
      <c r="AJ108" s="39" t="n">
        <v>0.1</v>
      </c>
      <c r="AK108" s="34">
        <f>IF(AG108="","",AG108*AJ108)</f>
        <v/>
      </c>
      <c r="AL108" s="34">
        <f>IF(OR(AG108="",R108=0),"",MIN(IF(AS108="",9.9E+99,AS108),FLOOR(AK108/R108,1)))</f>
        <v/>
      </c>
      <c r="AM108" s="38">
        <f>IF(AL108="","",AL108*T108)</f>
        <v/>
      </c>
      <c r="AN108" s="36">
        <f>IF(OR(AG108="",R108=0),"",MIN(IF(AS108="",9.9E+99,AS108),AK108/R108))</f>
        <v/>
      </c>
      <c r="AO108" s="38">
        <f>IF(AN108="","",AN108*T108)</f>
        <v/>
      </c>
      <c r="AP108" s="40" t="n"/>
      <c r="AQ108" s="41" t="n"/>
      <c r="AR108" s="41" t="n"/>
      <c r="AS108" s="42" t="n"/>
      <c r="AT108" s="43">
        <f>IF(((S108*pax_cap*load_thin*ROUND(K108*L108*revleg_thin,0))-(((battery/range_nm)*D108*ROUND(K108*L108*revleg_thin,0)*VLOOKUP(B108,country_opex,3,FALSE))+V108+W108+X108+Y108+Z108))&lt;=0,"",VLOOKUP(B108,country_opex,7,FALSE)/((S108*pax_cap*load_thin*ROUND(K108*L108*revleg_thin,0))-(((battery/range_nm)*D108*ROUND(K108*L108*revleg_thin,0)*VLOOKUP(B108,country_opex,3,FALSE))+V108+W108+X108+Y108+Z108)))</f>
        <v/>
      </c>
      <c r="AU108" s="43">
        <f>IF(((S108*pax_cap*load_mid*ROUND(K108*L108*revleg_mid,0))-(((battery/range_nm)*D108*ROUND(K108*L108*revleg_mid,0)*VLOOKUP(B108,country_opex,3,FALSE))+V108+W108+X108+Y108+Z108))&lt;=0,"",VLOOKUP(B108,country_opex,7,FALSE)/((S108*pax_cap*load_mid*ROUND(K108*L108*revleg_mid,0))-(((battery/range_nm)*D108*ROUND(K108*L108*revleg_mid,0)*VLOOKUP(B108,country_opex,3,FALSE))+V108+W108+X108+Y108+Z108)))</f>
        <v/>
      </c>
      <c r="AV108" s="43">
        <f>IF(((S108*pax_cap*load_full*ROUND(K108*L108*revleg_full,0))-(((battery/range_nm)*D108*ROUND(K108*L108*revleg_full,0)*VLOOKUP(B108,country_opex,3,FALSE))+V108+W108+X108+Y108+Z108))&lt;=0,"",VLOOKUP(B108,country_opex,7,FALSE)/((S108*pax_cap*load_full*ROUND(K108*L108*revleg_full,0))-(((battery/range_nm)*D108*ROUND(K108*L108*revleg_full,0)*VLOOKUP(B108,country_opex,3,FALSE))+V108+W108+X108+Y108+Z108)))</f>
        <v/>
      </c>
      <c r="AW108" s="44" t="inlineStr">
        <is>
          <t>PREMIUM/excursion proxy: scheduled SHARED Lebanese-coast sea cruise ~$50-60/person (Zingy Ride 'Lebanon Boat Trips' Beirut&lt;-&gt;Jounieh-Port route, $50/pax min 15 pax / $60/pax min 12 pax), midpoint ~$55/seat. No scheduled point-to-point water taxi exists, so this shared-cruise per-seat is the closest sourceable premium comparable - an EXCURSION fare, not a transfer fare; a true commuter shuttle seat would price below this. Charter context: Admiral Yachting Jounieh Bay ~$800/5h; semi-luxury boat $500 (1-8 pax).</t>
        </is>
      </c>
      <c r="AX108" s="44" t="n"/>
    </row>
    <row r="109">
      <c r="A109" s="29" t="inlineStr">
        <is>
          <t>Bolt Lebanon</t>
        </is>
      </c>
      <c r="B109" s="29" t="inlineStr">
        <is>
          <t>Lebanon</t>
        </is>
      </c>
      <c r="C109" s="30" t="inlineStr">
        <is>
          <t>Beirut → Byblos (Jbeil)</t>
        </is>
      </c>
      <c r="D109" s="31" t="n">
        <v>15</v>
      </c>
      <c r="E109" s="26" t="n">
        <v>55</v>
      </c>
      <c r="F109" s="32" t="inlineStr">
        <is>
          <t>T2</t>
        </is>
      </c>
      <c r="G109" s="32" t="inlineStr">
        <is>
          <t>med</t>
        </is>
      </c>
      <c r="H109" s="19" t="n">
        <v>1</v>
      </c>
      <c r="I109" s="33">
        <f>60*D109/cruise_kt</f>
        <v/>
      </c>
      <c r="J109" s="33">
        <f>I109+turn_min+dwell_min</f>
        <v/>
      </c>
      <c r="K109" s="34">
        <f>MIN(16,FLOOR(60*service_hr/J109,1))</f>
        <v/>
      </c>
      <c r="L109" s="34">
        <f>ROUND(365*mech_uptime*H109,0)</f>
        <v/>
      </c>
      <c r="M109" s="35">
        <f>mech_uptime</f>
        <v/>
      </c>
      <c r="N109" s="35">
        <f>revleg_sel</f>
        <v/>
      </c>
      <c r="O109" s="34">
        <f>ROUND(K109*L109*revleg_sel,0)</f>
        <v/>
      </c>
      <c r="P109" s="36">
        <f>load_sel</f>
        <v/>
      </c>
      <c r="Q109" s="36">
        <f>pax_cap*P109</f>
        <v/>
      </c>
      <c r="R109" s="34">
        <f>Q109*O109</f>
        <v/>
      </c>
      <c r="S109" s="37">
        <f>E109*discount</f>
        <v/>
      </c>
      <c r="T109" s="38">
        <f>S109*R109</f>
        <v/>
      </c>
      <c r="U109" s="38">
        <f>(battery/range_nm)*D109*O109*VLOOKUP(B109,country_opex,3,FALSE)</f>
        <v/>
      </c>
      <c r="V109" s="38">
        <f>VLOOKUP(B109,country_opex,2,FALSE)*crew_factor</f>
        <v/>
      </c>
      <c r="W109" s="38">
        <f>VLOOKUP(B109,country_opex,5,FALSE)</f>
        <v/>
      </c>
      <c r="X109" s="38">
        <f>maint</f>
        <v/>
      </c>
      <c r="Y109" s="38">
        <f>VLOOKUP(B109,country_opex,7,FALSE)*ins_pct</f>
        <v/>
      </c>
      <c r="Z109" s="38">
        <f>charge_berth</f>
        <v/>
      </c>
      <c r="AA109" s="38">
        <f>U109+V109+W109+X109+Y109+Z109</f>
        <v/>
      </c>
      <c r="AB109" s="38">
        <f>VLOOKUP(B109,country_opex,7,FALSE)/dep_years</f>
        <v/>
      </c>
      <c r="AC109" s="38">
        <f>T109-AA109</f>
        <v/>
      </c>
      <c r="AD109" s="35">
        <f>IF(T109=0,"",AC109/T109)</f>
        <v/>
      </c>
      <c r="AE109" s="36">
        <f>IF(AC109&lt;=0,"",VLOOKUP(B109,country_opex,7,FALSE)/AC109)</f>
        <v/>
      </c>
      <c r="AF109" s="33">
        <f>((D109*O109/diesel_nmpg)*diesel_co2pg-(battery/range_nm)*D109*O109*VLOOKUP(B109,country_opex,4,FALSE))/1000</f>
        <v/>
      </c>
      <c r="AG109" s="31" t="n"/>
      <c r="AH109" s="32" t="n"/>
      <c r="AI109" s="32" t="n"/>
      <c r="AJ109" s="39" t="n">
        <v>0.1</v>
      </c>
      <c r="AK109" s="34">
        <f>IF(AG109="","",AG109*AJ109)</f>
        <v/>
      </c>
      <c r="AL109" s="34">
        <f>IF(OR(AG109="",R109=0),"",MIN(IF(AS109="",9.9E+99,AS109),FLOOR(AK109/R109,1)))</f>
        <v/>
      </c>
      <c r="AM109" s="38">
        <f>IF(AL109="","",AL109*T109)</f>
        <v/>
      </c>
      <c r="AN109" s="36">
        <f>IF(OR(AG109="",R109=0),"",MIN(IF(AS109="",9.9E+99,AS109),AK109/R109))</f>
        <v/>
      </c>
      <c r="AO109" s="38">
        <f>IF(AN109="","",AN109*T109)</f>
        <v/>
      </c>
      <c r="AP109" s="40" t="n"/>
      <c r="AQ109" s="41" t="n"/>
      <c r="AR109" s="41" t="n"/>
      <c r="AS109" s="42" t="n"/>
      <c r="AT109" s="43">
        <f>IF(((S109*pax_cap*load_thin*ROUND(K109*L109*revleg_thin,0))-(((battery/range_nm)*D109*ROUND(K109*L109*revleg_thin,0)*VLOOKUP(B109,country_opex,3,FALSE))+V109+W109+X109+Y109+Z109))&lt;=0,"",VLOOKUP(B109,country_opex,7,FALSE)/((S109*pax_cap*load_thin*ROUND(K109*L109*revleg_thin,0))-(((battery/range_nm)*D109*ROUND(K109*L109*revleg_thin,0)*VLOOKUP(B109,country_opex,3,FALSE))+V109+W109+X109+Y109+Z109)))</f>
        <v/>
      </c>
      <c r="AU109" s="43">
        <f>IF(((S109*pax_cap*load_mid*ROUND(K109*L109*revleg_mid,0))-(((battery/range_nm)*D109*ROUND(K109*L109*revleg_mid,0)*VLOOKUP(B109,country_opex,3,FALSE))+V109+W109+X109+Y109+Z109))&lt;=0,"",VLOOKUP(B109,country_opex,7,FALSE)/((S109*pax_cap*load_mid*ROUND(K109*L109*revleg_mid,0))-(((battery/range_nm)*D109*ROUND(K109*L109*revleg_mid,0)*VLOOKUP(B109,country_opex,3,FALSE))+V109+W109+X109+Y109+Z109)))</f>
        <v/>
      </c>
      <c r="AV109" s="43">
        <f>IF(((S109*pax_cap*load_full*ROUND(K109*L109*revleg_full,0))-(((battery/range_nm)*D109*ROUND(K109*L109*revleg_full,0)*VLOOKUP(B109,country_opex,3,FALSE))+V109+W109+X109+Y109+Z109))&lt;=0,"",VLOOKUP(B109,country_opex,7,FALSE)/((S109*pax_cap*load_full*ROUND(K109*L109*revleg_full,0))-(((battery/range_nm)*D109*ROUND(K109*L109*revleg_full,0)*VLOOKUP(B109,country_opex,3,FALSE))+V109+W109+X109+Y109+Z109)))</f>
        <v/>
      </c>
      <c r="AW109" s="44" t="inlineStr">
        <is>
          <t>PREMIUM/excursion proxy: shared Lebanese-coast sea cruise ~$55/seat (Zingy Ride). Byblos-specific charter context: GetYourGuide Byblos boat/yacht rental from $350/group up to 10 (~$35/seat). No scheduled service on this leg.</t>
        </is>
      </c>
      <c r="AX109" s="44" t="n"/>
    </row>
    <row r="110">
      <c r="A110" s="29" t="inlineStr">
        <is>
          <t>Bolt Lebanon</t>
        </is>
      </c>
      <c r="B110" s="29" t="inlineStr">
        <is>
          <t>Lebanon</t>
        </is>
      </c>
      <c r="C110" s="30" t="inlineStr">
        <is>
          <t>Beirut → Sidon (Saida)</t>
        </is>
      </c>
      <c r="D110" s="31" t="n">
        <v>22</v>
      </c>
      <c r="E110" s="26" t="n">
        <v>55</v>
      </c>
      <c r="F110" s="32" t="inlineStr">
        <is>
          <t>T2</t>
        </is>
      </c>
      <c r="G110" s="32" t="inlineStr">
        <is>
          <t>med</t>
        </is>
      </c>
      <c r="H110" s="19" t="n">
        <v>1</v>
      </c>
      <c r="I110" s="33">
        <f>60*D110/cruise_kt</f>
        <v/>
      </c>
      <c r="J110" s="33">
        <f>I110+turn_min+dwell_min</f>
        <v/>
      </c>
      <c r="K110" s="34">
        <f>MIN(16,FLOOR(60*service_hr/J110,1))</f>
        <v/>
      </c>
      <c r="L110" s="34">
        <f>ROUND(365*mech_uptime*H110,0)</f>
        <v/>
      </c>
      <c r="M110" s="35">
        <f>mech_uptime</f>
        <v/>
      </c>
      <c r="N110" s="35">
        <f>revleg_sel</f>
        <v/>
      </c>
      <c r="O110" s="34">
        <f>ROUND(K110*L110*revleg_sel,0)</f>
        <v/>
      </c>
      <c r="P110" s="36">
        <f>load_sel</f>
        <v/>
      </c>
      <c r="Q110" s="36">
        <f>pax_cap*P110</f>
        <v/>
      </c>
      <c r="R110" s="34">
        <f>Q110*O110</f>
        <v/>
      </c>
      <c r="S110" s="37">
        <f>E110*discount</f>
        <v/>
      </c>
      <c r="T110" s="38">
        <f>S110*R110</f>
        <v/>
      </c>
      <c r="U110" s="38">
        <f>(battery/range_nm)*D110*O110*VLOOKUP(B110,country_opex,3,FALSE)</f>
        <v/>
      </c>
      <c r="V110" s="38">
        <f>VLOOKUP(B110,country_opex,2,FALSE)*crew_factor</f>
        <v/>
      </c>
      <c r="W110" s="38">
        <f>VLOOKUP(B110,country_opex,5,FALSE)</f>
        <v/>
      </c>
      <c r="X110" s="38">
        <f>maint</f>
        <v/>
      </c>
      <c r="Y110" s="38">
        <f>VLOOKUP(B110,country_opex,7,FALSE)*ins_pct</f>
        <v/>
      </c>
      <c r="Z110" s="38">
        <f>charge_berth</f>
        <v/>
      </c>
      <c r="AA110" s="38">
        <f>U110+V110+W110+X110+Y110+Z110</f>
        <v/>
      </c>
      <c r="AB110" s="38">
        <f>VLOOKUP(B110,country_opex,7,FALSE)/dep_years</f>
        <v/>
      </c>
      <c r="AC110" s="38">
        <f>T110-AA110</f>
        <v/>
      </c>
      <c r="AD110" s="35">
        <f>IF(T110=0,"",AC110/T110)</f>
        <v/>
      </c>
      <c r="AE110" s="36">
        <f>IF(AC110&lt;=0,"",VLOOKUP(B110,country_opex,7,FALSE)/AC110)</f>
        <v/>
      </c>
      <c r="AF110" s="33">
        <f>((D110*O110/diesel_nmpg)*diesel_co2pg-(battery/range_nm)*D110*O110*VLOOKUP(B110,country_opex,4,FALSE))/1000</f>
        <v/>
      </c>
      <c r="AG110" s="31" t="n">
        <v>2207520</v>
      </c>
      <c r="AH110" s="32" t="n"/>
      <c r="AI110" s="32" t="n"/>
      <c r="AJ110" s="39" t="n">
        <v>0.1</v>
      </c>
      <c r="AK110" s="34">
        <f>IF(AG110="","",AG110*AJ110)</f>
        <v/>
      </c>
      <c r="AL110" s="34">
        <f>IF(OR(AG110="",R110=0),"",MIN(IF(AS110="",9.9E+99,AS110),FLOOR(AK110/R110,1)))</f>
        <v/>
      </c>
      <c r="AM110" s="38">
        <f>IF(AL110="","",AL110*T110)</f>
        <v/>
      </c>
      <c r="AN110" s="36">
        <f>IF(OR(AG110="",R110=0),"",MIN(IF(AS110="",9.9E+99,AS110),AK110/R110))</f>
        <v/>
      </c>
      <c r="AO110" s="38">
        <f>IF(AN110="","",AN110*T110)</f>
        <v/>
      </c>
      <c r="AP110" s="40" t="n"/>
      <c r="AQ110" s="41" t="n"/>
      <c r="AR110" s="41" t="n"/>
      <c r="AS110" s="42" t="n"/>
      <c r="AT110" s="43">
        <f>IF(((S110*pax_cap*load_thin*ROUND(K110*L110*revleg_thin,0))-(((battery/range_nm)*D110*ROUND(K110*L110*revleg_thin,0)*VLOOKUP(B110,country_opex,3,FALSE))+V110+W110+X110+Y110+Z110))&lt;=0,"",VLOOKUP(B110,country_opex,7,FALSE)/((S110*pax_cap*load_thin*ROUND(K110*L110*revleg_thin,0))-(((battery/range_nm)*D110*ROUND(K110*L110*revleg_thin,0)*VLOOKUP(B110,country_opex,3,FALSE))+V110+W110+X110+Y110+Z110)))</f>
        <v/>
      </c>
      <c r="AU110" s="43">
        <f>IF(((S110*pax_cap*load_mid*ROUND(K110*L110*revleg_mid,0))-(((battery/range_nm)*D110*ROUND(K110*L110*revleg_mid,0)*VLOOKUP(B110,country_opex,3,FALSE))+V110+W110+X110+Y110+Z110))&lt;=0,"",VLOOKUP(B110,country_opex,7,FALSE)/((S110*pax_cap*load_mid*ROUND(K110*L110*revleg_mid,0))-(((battery/range_nm)*D110*ROUND(K110*L110*revleg_mid,0)*VLOOKUP(B110,country_opex,3,FALSE))+V110+W110+X110+Y110+Z110)))</f>
        <v/>
      </c>
      <c r="AV110" s="43">
        <f>IF(((S110*pax_cap*load_full*ROUND(K110*L110*revleg_full,0))-(((battery/range_nm)*D110*ROUND(K110*L110*revleg_full,0)*VLOOKUP(B110,country_opex,3,FALSE))+V110+W110+X110+Y110+Z110))&lt;=0,"",VLOOKUP(B110,country_opex,7,FALSE)/((S110*pax_cap*load_full*ROUND(K110*L110*revleg_full,0))-(((battery/range_nm)*D110*ROUND(K110*L110*revleg_full,0)*VLOOKUP(B110,country_opex,3,FALSE))+V110+W110+X110+Y110+Z110)))</f>
        <v/>
      </c>
      <c r="AW110" s="44" t="inlineStr">
        <is>
          <t>PREMIUM/excursion proxy (generic): shared Lebanese-coast sea cruise ~$55/seat (Zingy Ride) used as the only sourceable premium per-seat; no Sidon-specific scheduled cruise was sourced and the affluent-north cruise fare may overstate the lower-tourism south -&gt; treat as a soft proxy.</t>
        </is>
      </c>
      <c r="AX110" s="44" t="n"/>
    </row>
    <row r="111">
      <c r="A111" s="29" t="inlineStr">
        <is>
          <t>Bolt Lebanon</t>
        </is>
      </c>
      <c r="B111" s="29" t="inlineStr">
        <is>
          <t>Lebanon</t>
        </is>
      </c>
      <c r="C111" s="30" t="inlineStr">
        <is>
          <t>Beirut → Tripoli (El Mina)</t>
        </is>
      </c>
      <c r="D111" s="31" t="n">
        <v>36.5</v>
      </c>
      <c r="E111" s="26" t="n"/>
      <c r="F111" s="32" t="n"/>
      <c r="G111" s="32" t="n"/>
      <c r="H111" s="19" t="n">
        <v>1</v>
      </c>
      <c r="I111" s="33">
        <f>60*D111/cruise_kt</f>
        <v/>
      </c>
      <c r="J111" s="33">
        <f>I111+turn_min+dwell_min</f>
        <v/>
      </c>
      <c r="K111" s="34">
        <f>MIN(16,FLOOR(60*service_hr/J111,1))</f>
        <v/>
      </c>
      <c r="L111" s="34">
        <f>ROUND(365*mech_uptime*H111,0)</f>
        <v/>
      </c>
      <c r="M111" s="35">
        <f>mech_uptime</f>
        <v/>
      </c>
      <c r="N111" s="35">
        <f>revleg_sel</f>
        <v/>
      </c>
      <c r="O111" s="34">
        <f>ROUND(K111*L111*revleg_sel,0)</f>
        <v/>
      </c>
      <c r="P111" s="36">
        <f>load_sel</f>
        <v/>
      </c>
      <c r="Q111" s="36">
        <f>pax_cap*P111</f>
        <v/>
      </c>
      <c r="R111" s="34">
        <f>Q111*O111</f>
        <v/>
      </c>
      <c r="S111" s="37">
        <f>E111*discount</f>
        <v/>
      </c>
      <c r="T111" s="38">
        <f>S111*R111</f>
        <v/>
      </c>
      <c r="U111" s="38">
        <f>(battery/range_nm)*D111*O111*VLOOKUP(B111,country_opex,3,FALSE)</f>
        <v/>
      </c>
      <c r="V111" s="38">
        <f>VLOOKUP(B111,country_opex,2,FALSE)*crew_factor</f>
        <v/>
      </c>
      <c r="W111" s="38">
        <f>VLOOKUP(B111,country_opex,5,FALSE)</f>
        <v/>
      </c>
      <c r="X111" s="38">
        <f>maint</f>
        <v/>
      </c>
      <c r="Y111" s="38">
        <f>VLOOKUP(B111,country_opex,7,FALSE)*ins_pct</f>
        <v/>
      </c>
      <c r="Z111" s="38">
        <f>charge_berth</f>
        <v/>
      </c>
      <c r="AA111" s="38">
        <f>U111+V111+W111+X111+Y111+Z111</f>
        <v/>
      </c>
      <c r="AB111" s="38">
        <f>VLOOKUP(B111,country_opex,7,FALSE)/dep_years</f>
        <v/>
      </c>
      <c r="AC111" s="38">
        <f>T111-AA111</f>
        <v/>
      </c>
      <c r="AD111" s="35">
        <f>IF(T111=0,"",AC111/T111)</f>
        <v/>
      </c>
      <c r="AE111" s="36">
        <f>IF(AC111&lt;=0,"",VLOOKUP(B111,country_opex,7,FALSE)/AC111)</f>
        <v/>
      </c>
      <c r="AF111" s="33">
        <f>((D111*O111/diesel_nmpg)*diesel_co2pg-(battery/range_nm)*D111*O111*VLOOKUP(B111,country_opex,4,FALSE))/1000</f>
        <v/>
      </c>
      <c r="AG111" s="31" t="n"/>
      <c r="AH111" s="32" t="n"/>
      <c r="AI111" s="32" t="n"/>
      <c r="AJ111" s="39" t="n">
        <v>0.1</v>
      </c>
      <c r="AK111" s="34">
        <f>IF(AG111="","",AG111*AJ111)</f>
        <v/>
      </c>
      <c r="AL111" s="34">
        <f>IF(OR(AG111="",R111=0),"",MIN(IF(AS111="",9.9E+99,AS111),FLOOR(AK111/R111,1)))</f>
        <v/>
      </c>
      <c r="AM111" s="38">
        <f>IF(AL111="","",AL111*T111)</f>
        <v/>
      </c>
      <c r="AN111" s="36">
        <f>IF(OR(AG111="",R111=0),"",MIN(IF(AS111="",9.9E+99,AS111),AK111/R111))</f>
        <v/>
      </c>
      <c r="AO111" s="38">
        <f>IF(AN111="","",AN111*T111)</f>
        <v/>
      </c>
      <c r="AP111" s="40" t="n"/>
      <c r="AQ111" s="41" t="n"/>
      <c r="AR111" s="41" t="n"/>
      <c r="AS111" s="42" t="n"/>
      <c r="AT111" s="43">
        <f>IF(((S111*pax_cap*load_thin*ROUND(K111*L111*revleg_thin,0))-(((battery/range_nm)*D111*ROUND(K111*L111*revleg_thin,0)*VLOOKUP(B111,country_opex,3,FALSE))+V111+W111+X111+Y111+Z111))&lt;=0,"",VLOOKUP(B111,country_opex,7,FALSE)/((S111*pax_cap*load_thin*ROUND(K111*L111*revleg_thin,0))-(((battery/range_nm)*D111*ROUND(K111*L111*revleg_thin,0)*VLOOKUP(B111,country_opex,3,FALSE))+V111+W111+X111+Y111+Z111)))</f>
        <v/>
      </c>
      <c r="AU111" s="43">
        <f>IF(((S111*pax_cap*load_mid*ROUND(K111*L111*revleg_mid,0))-(((battery/range_nm)*D111*ROUND(K111*L111*revleg_mid,0)*VLOOKUP(B111,country_opex,3,FALSE))+V111+W111+X111+Y111+Z111))&lt;=0,"",VLOOKUP(B111,country_opex,7,FALSE)/((S111*pax_cap*load_mid*ROUND(K111*L111*revleg_mid,0))-(((battery/range_nm)*D111*ROUND(K111*L111*revleg_mid,0)*VLOOKUP(B111,country_opex,3,FALSE))+V111+W111+X111+Y111+Z111)))</f>
        <v/>
      </c>
      <c r="AV111" s="43">
        <f>IF(((S111*pax_cap*load_full*ROUND(K111*L111*revleg_full,0))-(((battery/range_nm)*D111*ROUND(K111*L111*revleg_full,0)*VLOOKUP(B111,country_opex,3,FALSE))+V111+W111+X111+Y111+Z111))&lt;=0,"",VLOOKUP(B111,country_opex,7,FALSE)/((S111*pax_cap*load_full*ROUND(K111*L111*revleg_full,0))-(((battery/range_nm)*D111*ROUND(K111*L111*revleg_full,0)*VLOOKUP(B111,country_opex,3,FALSE))+V111+W111+X111+Y111+Z111)))</f>
        <v/>
      </c>
      <c r="AW111" s="44" t="n"/>
      <c r="AX111" s="44" t="n"/>
    </row>
    <row r="112">
      <c r="A112" s="29" t="inlineStr">
        <is>
          <t>Bolt Portugal</t>
        </is>
      </c>
      <c r="B112" s="29" t="inlineStr">
        <is>
          <t>Portugal</t>
        </is>
      </c>
      <c r="C112" s="30" t="inlineStr">
        <is>
          <t>Porto (Cais da Ribeira) → Vila Nova de Gaia (Cais de Gaia)</t>
        </is>
      </c>
      <c r="D112" s="31" t="n">
        <v>0.2</v>
      </c>
      <c r="E112" s="26" t="n">
        <v>17.8</v>
      </c>
      <c r="F112" s="32" t="inlineStr">
        <is>
          <t>T2</t>
        </is>
      </c>
      <c r="G112" s="32" t="inlineStr">
        <is>
          <t>med</t>
        </is>
      </c>
      <c r="H112" s="19" t="n">
        <v>1</v>
      </c>
      <c r="I112" s="33">
        <f>60*D112/cruise_kt</f>
        <v/>
      </c>
      <c r="J112" s="33">
        <f>I112+turn_min+dwell_min</f>
        <v/>
      </c>
      <c r="K112" s="34">
        <f>MIN(10,FLOOR(60*service_hr/J112,1))</f>
        <v/>
      </c>
      <c r="L112" s="34">
        <f>ROUND(365*mech_uptime*H112,0)</f>
        <v/>
      </c>
      <c r="M112" s="35">
        <f>mech_uptime</f>
        <v/>
      </c>
      <c r="N112" s="35">
        <f>revleg_sel</f>
        <v/>
      </c>
      <c r="O112" s="34">
        <f>ROUND(K112*L112*revleg_sel,0)</f>
        <v/>
      </c>
      <c r="P112" s="36">
        <f>load_sel</f>
        <v/>
      </c>
      <c r="Q112" s="36">
        <f>pax_cap*P112</f>
        <v/>
      </c>
      <c r="R112" s="34">
        <f>Q112*O112</f>
        <v/>
      </c>
      <c r="S112" s="37">
        <f>E112*discount</f>
        <v/>
      </c>
      <c r="T112" s="38">
        <f>S112*R112</f>
        <v/>
      </c>
      <c r="U112" s="38">
        <f>(battery/range_nm)*D112*O112*VLOOKUP(B112,country_opex,3,FALSE)</f>
        <v/>
      </c>
      <c r="V112" s="38">
        <f>VLOOKUP(B112,country_opex,2,FALSE)*crew_factor</f>
        <v/>
      </c>
      <c r="W112" s="38">
        <f>VLOOKUP(B112,country_opex,5,FALSE)</f>
        <v/>
      </c>
      <c r="X112" s="38">
        <f>maint</f>
        <v/>
      </c>
      <c r="Y112" s="38">
        <f>VLOOKUP(B112,country_opex,7,FALSE)*ins_pct</f>
        <v/>
      </c>
      <c r="Z112" s="38">
        <f>charge_berth</f>
        <v/>
      </c>
      <c r="AA112" s="38">
        <f>U112+V112+W112+X112+Y112+Z112</f>
        <v/>
      </c>
      <c r="AB112" s="38">
        <f>VLOOKUP(B112,country_opex,7,FALSE)/dep_years</f>
        <v/>
      </c>
      <c r="AC112" s="38">
        <f>T112-AA112</f>
        <v/>
      </c>
      <c r="AD112" s="35">
        <f>IF(T112=0,"",AC112/T112)</f>
        <v/>
      </c>
      <c r="AE112" s="36">
        <f>IF(AC112&lt;=0,"",VLOOKUP(B112,country_opex,7,FALSE)/AC112)</f>
        <v/>
      </c>
      <c r="AF112" s="33">
        <f>((D112*O112/diesel_nmpg)*diesel_co2pg-(battery/range_nm)*D112*O112*VLOOKUP(B112,country_opex,4,FALSE))/1000</f>
        <v/>
      </c>
      <c r="AG112" s="31" t="n">
        <v>1200000</v>
      </c>
      <c r="AH112" s="32" t="n"/>
      <c r="AI112" s="32" t="n"/>
      <c r="AJ112" s="39" t="n">
        <v>0.1</v>
      </c>
      <c r="AK112" s="34">
        <f>IF(AG112="","",AG112*AJ112)</f>
        <v/>
      </c>
      <c r="AL112" s="34">
        <f>IF(OR(AG112="",R112=0),"",MIN(IF(AS112="",9.9E+99,AS112),FLOOR(AK112/R112,1)))</f>
        <v/>
      </c>
      <c r="AM112" s="38">
        <f>IF(AL112="","",AL112*T112)</f>
        <v/>
      </c>
      <c r="AN112" s="36">
        <f>IF(OR(AG112="",R112=0),"",MIN(IF(AS112="",9.9E+99,AS112),AK112/R112))</f>
        <v/>
      </c>
      <c r="AO112" s="38">
        <f>IF(AN112="","",AN112*T112)</f>
        <v/>
      </c>
      <c r="AP112" s="40" t="n"/>
      <c r="AQ112" s="41" t="n"/>
      <c r="AR112" s="41" t="n"/>
      <c r="AS112" s="42" t="n"/>
      <c r="AT112" s="43">
        <f>IF(((S112*pax_cap*load_thin*ROUND(K112*L112*revleg_thin,0))-(((battery/range_nm)*D112*ROUND(K112*L112*revleg_thin,0)*VLOOKUP(B112,country_opex,3,FALSE))+V112+W112+X112+Y112+Z112))&lt;=0,"",VLOOKUP(B112,country_opex,7,FALSE)/((S112*pax_cap*load_thin*ROUND(K112*L112*revleg_thin,0))-(((battery/range_nm)*D112*ROUND(K112*L112*revleg_thin,0)*VLOOKUP(B112,country_opex,3,FALSE))+V112+W112+X112+Y112+Z112)))</f>
        <v/>
      </c>
      <c r="AU112" s="43">
        <f>IF(((S112*pax_cap*load_mid*ROUND(K112*L112*revleg_mid,0))-(((battery/range_nm)*D112*ROUND(K112*L112*revleg_mid,0)*VLOOKUP(B112,country_opex,3,FALSE))+V112+W112+X112+Y112+Z112))&lt;=0,"",VLOOKUP(B112,country_opex,7,FALSE)/((S112*pax_cap*load_mid*ROUND(K112*L112*revleg_mid,0))-(((battery/range_nm)*D112*ROUND(K112*L112*revleg_mid,0)*VLOOKUP(B112,country_opex,3,FALSE))+V112+W112+X112+Y112+Z112)))</f>
        <v/>
      </c>
      <c r="AV112" s="43">
        <f>IF(((S112*pax_cap*load_full*ROUND(K112*L112*revleg_full,0))-(((battery/range_nm)*D112*ROUND(K112*L112*revleg_full,0)*VLOOKUP(B112,country_opex,3,FALSE))+V112+W112+X112+Y112+Z112))&lt;=0,"",VLOOKUP(B112,country_opex,7,FALSE)/((S112*pax_cap*load_full*ROUND(K112*L112*revleg_full,0))-(((battery/range_nm)*D112*ROUND(K112*L112*revleg_full,0)*VLOOKUP(B112,country_opex,3,FALSE))+V112+W112+X112+Y112+Z112)))</f>
        <v/>
      </c>
      <c r="AW112" s="44" t="inlineStr">
        <is>
          <t>PREMIUM tourist tier: the standard Douro '6 Bridges' panoramic cruise per-seat is ~EUR 15-18 (Tomaz do Douro / Portugal by Wine / GetYourGuide), ~50 min -&gt; ~$17.8.</t>
        </is>
      </c>
      <c r="AX112" s="44" t="n"/>
    </row>
    <row r="113">
      <c r="A113" s="29" t="inlineStr">
        <is>
          <t>Bolt Portugal</t>
        </is>
      </c>
      <c r="B113" s="29" t="inlineStr">
        <is>
          <t>Portugal</t>
        </is>
      </c>
      <c r="C113" s="30" t="inlineStr">
        <is>
          <t>Vila Real de Santo Antonio (Portugal) → Ayamonte (Spain)</t>
        </is>
      </c>
      <c r="D113" s="31" t="n">
        <v>0.8</v>
      </c>
      <c r="E113" s="26" t="n">
        <v>18</v>
      </c>
      <c r="F113" s="32" t="inlineStr">
        <is>
          <t>T2</t>
        </is>
      </c>
      <c r="G113" s="32" t="inlineStr">
        <is>
          <t>med</t>
        </is>
      </c>
      <c r="H113" s="19" t="n">
        <v>1</v>
      </c>
      <c r="I113" s="33">
        <f>60*D113/cruise_kt</f>
        <v/>
      </c>
      <c r="J113" s="33">
        <f>I113+turn_min+dwell_min</f>
        <v/>
      </c>
      <c r="K113" s="34">
        <f>MIN(10,FLOOR(60*service_hr/J113,1))</f>
        <v/>
      </c>
      <c r="L113" s="34">
        <f>ROUND(365*mech_uptime*H113,0)</f>
        <v/>
      </c>
      <c r="M113" s="35">
        <f>mech_uptime</f>
        <v/>
      </c>
      <c r="N113" s="35">
        <f>revleg_sel</f>
        <v/>
      </c>
      <c r="O113" s="34">
        <f>ROUND(K113*L113*revleg_sel,0)</f>
        <v/>
      </c>
      <c r="P113" s="36">
        <f>load_sel</f>
        <v/>
      </c>
      <c r="Q113" s="36">
        <f>pax_cap*P113</f>
        <v/>
      </c>
      <c r="R113" s="34">
        <f>Q113*O113</f>
        <v/>
      </c>
      <c r="S113" s="37">
        <f>E113*discount</f>
        <v/>
      </c>
      <c r="T113" s="38">
        <f>S113*R113</f>
        <v/>
      </c>
      <c r="U113" s="38">
        <f>(battery/range_nm)*D113*O113*VLOOKUP(B113,country_opex,3,FALSE)</f>
        <v/>
      </c>
      <c r="V113" s="38">
        <f>VLOOKUP(B113,country_opex,2,FALSE)*crew_factor</f>
        <v/>
      </c>
      <c r="W113" s="38">
        <f>VLOOKUP(B113,country_opex,5,FALSE)</f>
        <v/>
      </c>
      <c r="X113" s="38">
        <f>maint</f>
        <v/>
      </c>
      <c r="Y113" s="38">
        <f>VLOOKUP(B113,country_opex,7,FALSE)*ins_pct</f>
        <v/>
      </c>
      <c r="Z113" s="38">
        <f>charge_berth</f>
        <v/>
      </c>
      <c r="AA113" s="38">
        <f>U113+V113+W113+X113+Y113+Z113</f>
        <v/>
      </c>
      <c r="AB113" s="38">
        <f>VLOOKUP(B113,country_opex,7,FALSE)/dep_years</f>
        <v/>
      </c>
      <c r="AC113" s="38">
        <f>T113-AA113</f>
        <v/>
      </c>
      <c r="AD113" s="35">
        <f>IF(T113=0,"",AC113/T113)</f>
        <v/>
      </c>
      <c r="AE113" s="36">
        <f>IF(AC113&lt;=0,"",VLOOKUP(B113,country_opex,7,FALSE)/AC113)</f>
        <v/>
      </c>
      <c r="AF113" s="33">
        <f>((D113*O113/diesel_nmpg)*diesel_co2pg-(battery/range_nm)*D113*O113*VLOOKUP(B113,country_opex,4,FALSE))/1000</f>
        <v/>
      </c>
      <c r="AG113" s="31" t="n"/>
      <c r="AH113" s="32" t="n"/>
      <c r="AI113" s="32" t="n"/>
      <c r="AJ113" s="39" t="n">
        <v>0.1</v>
      </c>
      <c r="AK113" s="34">
        <f>IF(AG113="","",AG113*AJ113)</f>
        <v/>
      </c>
      <c r="AL113" s="34">
        <f>IF(OR(AG113="",R113=0),"",MIN(IF(AS113="",9.9E+99,AS113),FLOOR(AK113/R113,1)))</f>
        <v/>
      </c>
      <c r="AM113" s="38">
        <f>IF(AL113="","",AL113*T113)</f>
        <v/>
      </c>
      <c r="AN113" s="36">
        <f>IF(OR(AG113="",R113=0),"",MIN(IF(AS113="",9.9E+99,AS113),AK113/R113))</f>
        <v/>
      </c>
      <c r="AO113" s="38">
        <f>IF(AN113="","",AN113*T113)</f>
        <v/>
      </c>
      <c r="AP113" s="40" t="n"/>
      <c r="AQ113" s="41" t="n"/>
      <c r="AR113" s="41" t="n"/>
      <c r="AS113" s="42" t="n"/>
      <c r="AT113" s="43">
        <f>IF(((S113*pax_cap*load_thin*ROUND(K113*L113*revleg_thin,0))-(((battery/range_nm)*D113*ROUND(K113*L113*revleg_thin,0)*VLOOKUP(B113,country_opex,3,FALSE))+V113+W113+X113+Y113+Z113))&lt;=0,"",VLOOKUP(B113,country_opex,7,FALSE)/((S113*pax_cap*load_thin*ROUND(K113*L113*revleg_thin,0))-(((battery/range_nm)*D113*ROUND(K113*L113*revleg_thin,0)*VLOOKUP(B113,country_opex,3,FALSE))+V113+W113+X113+Y113+Z113)))</f>
        <v/>
      </c>
      <c r="AU113" s="43">
        <f>IF(((S113*pax_cap*load_mid*ROUND(K113*L113*revleg_mid,0))-(((battery/range_nm)*D113*ROUND(K113*L113*revleg_mid,0)*VLOOKUP(B113,country_opex,3,FALSE))+V113+W113+X113+Y113+Z113))&lt;=0,"",VLOOKUP(B113,country_opex,7,FALSE)/((S113*pax_cap*load_mid*ROUND(K113*L113*revleg_mid,0))-(((battery/range_nm)*D113*ROUND(K113*L113*revleg_mid,0)*VLOOKUP(B113,country_opex,3,FALSE))+V113+W113+X113+Y113+Z113)))</f>
        <v/>
      </c>
      <c r="AV113" s="43">
        <f>IF(((S113*pax_cap*load_full*ROUND(K113*L113*revleg_full,0))-(((battery/range_nm)*D113*ROUND(K113*L113*revleg_full,0)*VLOOKUP(B113,country_opex,3,FALSE))+V113+W113+X113+Y113+Z113))&lt;=0,"",VLOOKUP(B113,country_opex,7,FALSE)/((S113*pax_cap*load_full*ROUND(K113*L113*revleg_full,0))-(((battery/range_nm)*D113*ROUND(K113*L113*revleg_full,0)*VLOOKUP(B113,country_opex,3,FALSE))+V113+W113+X113+Y113+Z113)))</f>
        <v/>
      </c>
      <c r="AW113" s="44" t="inlineStr">
        <is>
          <t>[LB-255 PREMIUM RE-FARE: subsidized comparable $5.0 lifted to premium on-demand floor $18.0] Scheduled cross-border ferry fare EUR 2-7 one-way (Rome2Rio / TFG) -&gt; mid ~$5.</t>
        </is>
      </c>
      <c r="AX113" s="44" t="n"/>
    </row>
    <row r="114">
      <c r="A114" s="29" t="inlineStr">
        <is>
          <t>Bolt Portugal</t>
        </is>
      </c>
      <c r="B114" s="29" t="inlineStr">
        <is>
          <t>Portugal</t>
        </is>
      </c>
      <c r="C114" s="30" t="inlineStr">
        <is>
          <t>Lagos → Ponta da Piedade</t>
        </is>
      </c>
      <c r="D114" s="31" t="n">
        <v>1.2</v>
      </c>
      <c r="E114" s="26" t="n">
        <v>24</v>
      </c>
      <c r="F114" s="32" t="inlineStr">
        <is>
          <t>T2</t>
        </is>
      </c>
      <c r="G114" s="32" t="inlineStr">
        <is>
          <t>med</t>
        </is>
      </c>
      <c r="H114" s="19" t="n">
        <v>1</v>
      </c>
      <c r="I114" s="33">
        <f>60*D114/cruise_kt</f>
        <v/>
      </c>
      <c r="J114" s="33">
        <f>I114+turn_min+dwell_min</f>
        <v/>
      </c>
      <c r="K114" s="34">
        <f>MIN(10,FLOOR(60*service_hr/J114,1))</f>
        <v/>
      </c>
      <c r="L114" s="34">
        <f>ROUND(365*mech_uptime*H114,0)</f>
        <v/>
      </c>
      <c r="M114" s="35">
        <f>mech_uptime</f>
        <v/>
      </c>
      <c r="N114" s="35">
        <f>revleg_sel</f>
        <v/>
      </c>
      <c r="O114" s="34">
        <f>ROUND(K114*L114*revleg_sel,0)</f>
        <v/>
      </c>
      <c r="P114" s="36">
        <f>load_sel</f>
        <v/>
      </c>
      <c r="Q114" s="36">
        <f>pax_cap*P114</f>
        <v/>
      </c>
      <c r="R114" s="34">
        <f>Q114*O114</f>
        <v/>
      </c>
      <c r="S114" s="37">
        <f>E114*discount</f>
        <v/>
      </c>
      <c r="T114" s="38">
        <f>S114*R114</f>
        <v/>
      </c>
      <c r="U114" s="38">
        <f>(battery/range_nm)*D114*O114*VLOOKUP(B114,country_opex,3,FALSE)</f>
        <v/>
      </c>
      <c r="V114" s="38">
        <f>VLOOKUP(B114,country_opex,2,FALSE)*crew_factor</f>
        <v/>
      </c>
      <c r="W114" s="38">
        <f>VLOOKUP(B114,country_opex,5,FALSE)</f>
        <v/>
      </c>
      <c r="X114" s="38">
        <f>maint</f>
        <v/>
      </c>
      <c r="Y114" s="38">
        <f>VLOOKUP(B114,country_opex,7,FALSE)*ins_pct</f>
        <v/>
      </c>
      <c r="Z114" s="38">
        <f>charge_berth</f>
        <v/>
      </c>
      <c r="AA114" s="38">
        <f>U114+V114+W114+X114+Y114+Z114</f>
        <v/>
      </c>
      <c r="AB114" s="38">
        <f>VLOOKUP(B114,country_opex,7,FALSE)/dep_years</f>
        <v/>
      </c>
      <c r="AC114" s="38">
        <f>T114-AA114</f>
        <v/>
      </c>
      <c r="AD114" s="35">
        <f>IF(T114=0,"",AC114/T114)</f>
        <v/>
      </c>
      <c r="AE114" s="36">
        <f>IF(AC114&lt;=0,"",VLOOKUP(B114,country_opex,7,FALSE)/AC114)</f>
        <v/>
      </c>
      <c r="AF114" s="33">
        <f>((D114*O114/diesel_nmpg)*diesel_co2pg-(battery/range_nm)*D114*O114*VLOOKUP(B114,country_opex,4,FALSE))/1000</f>
        <v/>
      </c>
      <c r="AG114" s="31" t="n"/>
      <c r="AH114" s="32" t="n"/>
      <c r="AI114" s="32" t="n"/>
      <c r="AJ114" s="39" t="n">
        <v>0.1</v>
      </c>
      <c r="AK114" s="34">
        <f>IF(AG114="","",AG114*AJ114)</f>
        <v/>
      </c>
      <c r="AL114" s="34">
        <f>IF(OR(AG114="",R114=0),"",MIN(IF(AS114="",9.9E+99,AS114),FLOOR(AK114/R114,1)))</f>
        <v/>
      </c>
      <c r="AM114" s="38">
        <f>IF(AL114="","",AL114*T114)</f>
        <v/>
      </c>
      <c r="AN114" s="36">
        <f>IF(OR(AG114="",R114=0),"",MIN(IF(AS114="",9.9E+99,AS114),AK114/R114))</f>
        <v/>
      </c>
      <c r="AO114" s="38">
        <f>IF(AN114="","",AN114*T114)</f>
        <v/>
      </c>
      <c r="AP114" s="40" t="n"/>
      <c r="AQ114" s="41" t="n"/>
      <c r="AR114" s="41" t="n"/>
      <c r="AS114" s="42" t="n"/>
      <c r="AT114" s="43">
        <f>IF(((S114*pax_cap*load_thin*ROUND(K114*L114*revleg_thin,0))-(((battery/range_nm)*D114*ROUND(K114*L114*revleg_thin,0)*VLOOKUP(B114,country_opex,3,FALSE))+V114+W114+X114+Y114+Z114))&lt;=0,"",VLOOKUP(B114,country_opex,7,FALSE)/((S114*pax_cap*load_thin*ROUND(K114*L114*revleg_thin,0))-(((battery/range_nm)*D114*ROUND(K114*L114*revleg_thin,0)*VLOOKUP(B114,country_opex,3,FALSE))+V114+W114+X114+Y114+Z114)))</f>
        <v/>
      </c>
      <c r="AU114" s="43">
        <f>IF(((S114*pax_cap*load_mid*ROUND(K114*L114*revleg_mid,0))-(((battery/range_nm)*D114*ROUND(K114*L114*revleg_mid,0)*VLOOKUP(B114,country_opex,3,FALSE))+V114+W114+X114+Y114+Z114))&lt;=0,"",VLOOKUP(B114,country_opex,7,FALSE)/((S114*pax_cap*load_mid*ROUND(K114*L114*revleg_mid,0))-(((battery/range_nm)*D114*ROUND(K114*L114*revleg_mid,0)*VLOOKUP(B114,country_opex,3,FALSE))+V114+W114+X114+Y114+Z114)))</f>
        <v/>
      </c>
      <c r="AV114" s="43">
        <f>IF(((S114*pax_cap*load_full*ROUND(K114*L114*revleg_full,0))-(((battery/range_nm)*D114*ROUND(K114*L114*revleg_full,0)*VLOOKUP(B114,country_opex,3,FALSE))+V114+W114+X114+Y114+Z114))&lt;=0,"",VLOOKUP(B114,country_opex,7,FALSE)/((S114*pax_cap*load_full*ROUND(K114*L114*revleg_full,0))-(((battery/range_nm)*D114*ROUND(K114*L114*revleg_full,0)*VLOOKUP(B114,country_opex,3,FALSE))+V114+W114+X114+Y114+Z114)))</f>
        <v/>
      </c>
      <c r="AW114" s="44" t="inlineStr">
        <is>
          <t>PREMIUM tier: standard Ponta da Piedade grotto boat trip ~EUR 20-25 per seat (Tripadvisor/GetYourGuide; ~$20-25) -&gt; ~$24.</t>
        </is>
      </c>
      <c r="AX114" s="44" t="n"/>
    </row>
    <row r="115">
      <c r="A115" s="29" t="inlineStr">
        <is>
          <t>Bolt Portugal</t>
        </is>
      </c>
      <c r="B115" s="29" t="inlineStr">
        <is>
          <t>Portugal</t>
        </is>
      </c>
      <c r="C115" s="30" t="inlineStr">
        <is>
          <t>Cais do Sodré (Lisbon) → Cacilhas (Almada)</t>
        </is>
      </c>
      <c r="D115" s="31" t="n">
        <v>1.5</v>
      </c>
      <c r="E115" s="26" t="n">
        <v>18</v>
      </c>
      <c r="F115" s="32" t="inlineStr">
        <is>
          <t>T2</t>
        </is>
      </c>
      <c r="G115" s="32" t="inlineStr">
        <is>
          <t>med</t>
        </is>
      </c>
      <c r="H115" s="19" t="n">
        <v>1</v>
      </c>
      <c r="I115" s="33">
        <f>60*D115/cruise_kt</f>
        <v/>
      </c>
      <c r="J115" s="33">
        <f>I115+turn_min+dwell_min</f>
        <v/>
      </c>
      <c r="K115" s="34">
        <f>MIN(10,FLOOR(60*service_hr/J115,1))</f>
        <v/>
      </c>
      <c r="L115" s="34">
        <f>ROUND(365*mech_uptime*H115,0)</f>
        <v/>
      </c>
      <c r="M115" s="35">
        <f>mech_uptime</f>
        <v/>
      </c>
      <c r="N115" s="35">
        <f>revleg_sel</f>
        <v/>
      </c>
      <c r="O115" s="34">
        <f>ROUND(K115*L115*revleg_sel,0)</f>
        <v/>
      </c>
      <c r="P115" s="36">
        <f>load_sel</f>
        <v/>
      </c>
      <c r="Q115" s="36">
        <f>pax_cap*P115</f>
        <v/>
      </c>
      <c r="R115" s="34">
        <f>Q115*O115</f>
        <v/>
      </c>
      <c r="S115" s="37">
        <f>E115*discount</f>
        <v/>
      </c>
      <c r="T115" s="38">
        <f>S115*R115</f>
        <v/>
      </c>
      <c r="U115" s="38">
        <f>(battery/range_nm)*D115*O115*VLOOKUP(B115,country_opex,3,FALSE)</f>
        <v/>
      </c>
      <c r="V115" s="38">
        <f>VLOOKUP(B115,country_opex,2,FALSE)*crew_factor</f>
        <v/>
      </c>
      <c r="W115" s="38">
        <f>VLOOKUP(B115,country_opex,5,FALSE)</f>
        <v/>
      </c>
      <c r="X115" s="38">
        <f>maint</f>
        <v/>
      </c>
      <c r="Y115" s="38">
        <f>VLOOKUP(B115,country_opex,7,FALSE)*ins_pct</f>
        <v/>
      </c>
      <c r="Z115" s="38">
        <f>charge_berth</f>
        <v/>
      </c>
      <c r="AA115" s="38">
        <f>U115+V115+W115+X115+Y115+Z115</f>
        <v/>
      </c>
      <c r="AB115" s="38">
        <f>VLOOKUP(B115,country_opex,7,FALSE)/dep_years</f>
        <v/>
      </c>
      <c r="AC115" s="38">
        <f>T115-AA115</f>
        <v/>
      </c>
      <c r="AD115" s="35">
        <f>IF(T115=0,"",AC115/T115)</f>
        <v/>
      </c>
      <c r="AE115" s="36">
        <f>IF(AC115&lt;=0,"",VLOOKUP(B115,country_opex,7,FALSE)/AC115)</f>
        <v/>
      </c>
      <c r="AF115" s="33">
        <f>((D115*O115/diesel_nmpg)*diesel_co2pg-(battery/range_nm)*D115*O115*VLOOKUP(B115,country_opex,4,FALSE))/1000</f>
        <v/>
      </c>
      <c r="AG115" s="31" t="n">
        <v>750337</v>
      </c>
      <c r="AH115" s="32" t="n"/>
      <c r="AI115" s="32" t="inlineStr">
        <is>
          <t>med</t>
        </is>
      </c>
      <c r="AJ115" s="39" t="n">
        <v>0.25</v>
      </c>
      <c r="AK115" s="34">
        <f>IF(AG115="","",AG115*AJ115)</f>
        <v/>
      </c>
      <c r="AL115" s="34">
        <f>IF(OR(AG115="",R115=0),"",MIN(IF(AS115="",9.9E+99,AS115),FLOOR(AK115/R115,1)))</f>
        <v/>
      </c>
      <c r="AM115" s="38">
        <f>IF(AL115="","",AL115*T115)</f>
        <v/>
      </c>
      <c r="AN115" s="36">
        <f>IF(OR(AG115="",R115=0),"",MIN(IF(AS115="",9.9E+99,AS115),AK115/R115))</f>
        <v/>
      </c>
      <c r="AO115" s="38">
        <f>IF(AN115="","",AN115*T115)</f>
        <v/>
      </c>
      <c r="AP115" s="40" t="n"/>
      <c r="AQ115" s="41" t="n"/>
      <c r="AR115" s="41" t="n"/>
      <c r="AS115" s="42" t="n"/>
      <c r="AT115" s="43">
        <f>IF(((S115*pax_cap*load_thin*ROUND(K115*L115*revleg_thin,0))-(((battery/range_nm)*D115*ROUND(K115*L115*revleg_thin,0)*VLOOKUP(B115,country_opex,3,FALSE))+V115+W115+X115+Y115+Z115))&lt;=0,"",VLOOKUP(B115,country_opex,7,FALSE)/((S115*pax_cap*load_thin*ROUND(K115*L115*revleg_thin,0))-(((battery/range_nm)*D115*ROUND(K115*L115*revleg_thin,0)*VLOOKUP(B115,country_opex,3,FALSE))+V115+W115+X115+Y115+Z115)))</f>
        <v/>
      </c>
      <c r="AU115" s="43">
        <f>IF(((S115*pax_cap*load_mid*ROUND(K115*L115*revleg_mid,0))-(((battery/range_nm)*D115*ROUND(K115*L115*revleg_mid,0)*VLOOKUP(B115,country_opex,3,FALSE))+V115+W115+X115+Y115+Z115))&lt;=0,"",VLOOKUP(B115,country_opex,7,FALSE)/((S115*pax_cap*load_mid*ROUND(K115*L115*revleg_mid,0))-(((battery/range_nm)*D115*ROUND(K115*L115*revleg_mid,0)*VLOOKUP(B115,country_opex,3,FALSE))+V115+W115+X115+Y115+Z115)))</f>
        <v/>
      </c>
      <c r="AV115" s="43">
        <f>IF(((S115*pax_cap*load_full*ROUND(K115*L115*revleg_full,0))-(((battery/range_nm)*D115*ROUND(K115*L115*revleg_full,0)*VLOOKUP(B115,country_opex,3,FALSE))+V115+W115+X115+Y115+Z115))&lt;=0,"",VLOOKUP(B115,country_opex,7,FALSE)/((S115*pax_cap*load_full*ROUND(K115*L115*revleg_full,0))-(((battery/range_nm)*D115*ROUND(K115*L115*revleg_full,0)*VLOOKUP(B115,country_opex,3,FALSE))+V115+W115+X115+Y115+Z115)))</f>
        <v/>
      </c>
      <c r="AW115" s="44" t="inlineStr">
        <is>
          <t>[LB-255 PREMIUM RE-FARE: subsidized comparable $1.62 lifted to premium on-demand floor $18.0] Public-transit adult single (bilhete simples) Cacilhas/Cais do Sodre = EUR 1.50 (TTSL 2024 tariff table) x1.08 = ~$1.62. NOT a premium tier -- a Navier electric-hydrofoil premium seat would price above this public fare.</t>
        </is>
      </c>
      <c r="AX115" s="44" t="n"/>
    </row>
    <row r="116">
      <c r="A116" s="29" t="inlineStr">
        <is>
          <t>Bolt Portugal</t>
        </is>
      </c>
      <c r="B116" s="29" t="inlineStr">
        <is>
          <t>Portugal</t>
        </is>
      </c>
      <c r="C116" s="30" t="inlineStr">
        <is>
          <t>Belem (Lisbon) → Trafaria / Porto Brandao (Almada)</t>
        </is>
      </c>
      <c r="D116" s="31" t="n">
        <v>2.4</v>
      </c>
      <c r="E116" s="26" t="n">
        <v>18</v>
      </c>
      <c r="F116" s="32" t="inlineStr">
        <is>
          <t>T2</t>
        </is>
      </c>
      <c r="G116" s="32" t="inlineStr">
        <is>
          <t>med</t>
        </is>
      </c>
      <c r="H116" s="19" t="n">
        <v>1</v>
      </c>
      <c r="I116" s="33">
        <f>60*D116/cruise_kt</f>
        <v/>
      </c>
      <c r="J116" s="33">
        <f>I116+turn_min+dwell_min</f>
        <v/>
      </c>
      <c r="K116" s="34">
        <f>MIN(16,FLOOR(60*service_hr/J116,1))</f>
        <v/>
      </c>
      <c r="L116" s="34">
        <f>ROUND(365*mech_uptime*H116,0)</f>
        <v/>
      </c>
      <c r="M116" s="35">
        <f>mech_uptime</f>
        <v/>
      </c>
      <c r="N116" s="35">
        <f>revleg_sel</f>
        <v/>
      </c>
      <c r="O116" s="34">
        <f>ROUND(K116*L116*revleg_sel,0)</f>
        <v/>
      </c>
      <c r="P116" s="36">
        <f>load_sel</f>
        <v/>
      </c>
      <c r="Q116" s="36">
        <f>pax_cap*P116</f>
        <v/>
      </c>
      <c r="R116" s="34">
        <f>Q116*O116</f>
        <v/>
      </c>
      <c r="S116" s="37">
        <f>E116*discount</f>
        <v/>
      </c>
      <c r="T116" s="38">
        <f>S116*R116</f>
        <v/>
      </c>
      <c r="U116" s="38">
        <f>(battery/range_nm)*D116*O116*VLOOKUP(B116,country_opex,3,FALSE)</f>
        <v/>
      </c>
      <c r="V116" s="38">
        <f>VLOOKUP(B116,country_opex,2,FALSE)*crew_factor</f>
        <v/>
      </c>
      <c r="W116" s="38">
        <f>VLOOKUP(B116,country_opex,5,FALSE)</f>
        <v/>
      </c>
      <c r="X116" s="38">
        <f>maint</f>
        <v/>
      </c>
      <c r="Y116" s="38">
        <f>VLOOKUP(B116,country_opex,7,FALSE)*ins_pct</f>
        <v/>
      </c>
      <c r="Z116" s="38">
        <f>charge_berth</f>
        <v/>
      </c>
      <c r="AA116" s="38">
        <f>U116+V116+W116+X116+Y116+Z116</f>
        <v/>
      </c>
      <c r="AB116" s="38">
        <f>VLOOKUP(B116,country_opex,7,FALSE)/dep_years</f>
        <v/>
      </c>
      <c r="AC116" s="38">
        <f>T116-AA116</f>
        <v/>
      </c>
      <c r="AD116" s="35">
        <f>IF(T116=0,"",AC116/T116)</f>
        <v/>
      </c>
      <c r="AE116" s="36">
        <f>IF(AC116&lt;=0,"",VLOOKUP(B116,country_opex,7,FALSE)/AC116)</f>
        <v/>
      </c>
      <c r="AF116" s="33">
        <f>((D116*O116/diesel_nmpg)*diesel_co2pg-(battery/range_nm)*D116*O116*VLOOKUP(B116,country_opex,4,FALSE))/1000</f>
        <v/>
      </c>
      <c r="AG116" s="31" t="n">
        <v>38706</v>
      </c>
      <c r="AH116" s="32" t="n"/>
      <c r="AI116" s="32" t="inlineStr">
        <is>
          <t>med</t>
        </is>
      </c>
      <c r="AJ116" s="39" t="n">
        <v>0.25</v>
      </c>
      <c r="AK116" s="34">
        <f>IF(AG116="","",AG116*AJ116)</f>
        <v/>
      </c>
      <c r="AL116" s="34">
        <f>IF(OR(AG116="",R116=0),"",MIN(IF(AS116="",9.9E+99,AS116),FLOOR(AK116/R116,1)))</f>
        <v/>
      </c>
      <c r="AM116" s="38">
        <f>IF(AL116="","",AL116*T116)</f>
        <v/>
      </c>
      <c r="AN116" s="36">
        <f>IF(OR(AG116="",R116=0),"",MIN(IF(AS116="",9.9E+99,AS116),AK116/R116))</f>
        <v/>
      </c>
      <c r="AO116" s="38">
        <f>IF(AN116="","",AN116*T116)</f>
        <v/>
      </c>
      <c r="AP116" s="40" t="n"/>
      <c r="AQ116" s="41" t="n"/>
      <c r="AR116" s="41" t="n"/>
      <c r="AS116" s="42" t="n"/>
      <c r="AT116" s="43">
        <f>IF(((S116*pax_cap*load_thin*ROUND(K116*L116*revleg_thin,0))-(((battery/range_nm)*D116*ROUND(K116*L116*revleg_thin,0)*VLOOKUP(B116,country_opex,3,FALSE))+V116+W116+X116+Y116+Z116))&lt;=0,"",VLOOKUP(B116,country_opex,7,FALSE)/((S116*pax_cap*load_thin*ROUND(K116*L116*revleg_thin,0))-(((battery/range_nm)*D116*ROUND(K116*L116*revleg_thin,0)*VLOOKUP(B116,country_opex,3,FALSE))+V116+W116+X116+Y116+Z116)))</f>
        <v/>
      </c>
      <c r="AU116" s="43">
        <f>IF(((S116*pax_cap*load_mid*ROUND(K116*L116*revleg_mid,0))-(((battery/range_nm)*D116*ROUND(K116*L116*revleg_mid,0)*VLOOKUP(B116,country_opex,3,FALSE))+V116+W116+X116+Y116+Z116))&lt;=0,"",VLOOKUP(B116,country_opex,7,FALSE)/((S116*pax_cap*load_mid*ROUND(K116*L116*revleg_mid,0))-(((battery/range_nm)*D116*ROUND(K116*L116*revleg_mid,0)*VLOOKUP(B116,country_opex,3,FALSE))+V116+W116+X116+Y116+Z116)))</f>
        <v/>
      </c>
      <c r="AV116" s="43">
        <f>IF(((S116*pax_cap*load_full*ROUND(K116*L116*revleg_full,0))-(((battery/range_nm)*D116*ROUND(K116*L116*revleg_full,0)*VLOOKUP(B116,country_opex,3,FALSE))+V116+W116+X116+Y116+Z116))&lt;=0,"",VLOOKUP(B116,country_opex,7,FALSE)/((S116*pax_cap*load_full*ROUND(K116*L116*revleg_full,0))-(((battery/range_nm)*D116*ROUND(K116*L116*revleg_full,0)*VLOOKUP(B116,country_opex,3,FALSE))+V116+W116+X116+Y116+Z116)))</f>
        <v/>
      </c>
      <c r="AW116" s="44" t="inlineStr">
        <is>
          <t>[LB-255 PREMIUM RE-FARE: subsidized comparable $1.57 lifted to premium on-demand floor $18.0] Public-transit adult single Trafaria/Porto Brandao/Belem = EUR 1.45 (TTSL 2024 tariff) x1.08 = ~$1.57.</t>
        </is>
      </c>
      <c r="AX116" s="44" t="n"/>
    </row>
    <row r="117">
      <c r="A117" s="29" t="inlineStr">
        <is>
          <t>Bolt Portugal</t>
        </is>
      </c>
      <c r="B117" s="29" t="inlineStr">
        <is>
          <t>Portugal</t>
        </is>
      </c>
      <c r="C117" s="30" t="inlineStr">
        <is>
          <t>Olhao → Culatra / Farol</t>
        </is>
      </c>
      <c r="D117" s="31" t="n">
        <v>2.7</v>
      </c>
      <c r="E117" s="26" t="n">
        <v>30</v>
      </c>
      <c r="F117" s="32" t="inlineStr">
        <is>
          <t>T2</t>
        </is>
      </c>
      <c r="G117" s="32" t="inlineStr">
        <is>
          <t>med</t>
        </is>
      </c>
      <c r="H117" s="19" t="n">
        <v>1</v>
      </c>
      <c r="I117" s="33">
        <f>60*D117/cruise_kt</f>
        <v/>
      </c>
      <c r="J117" s="33">
        <f>I117+turn_min+dwell_min</f>
        <v/>
      </c>
      <c r="K117" s="34">
        <f>MIN(10,FLOOR(60*service_hr/J117,1))</f>
        <v/>
      </c>
      <c r="L117" s="34">
        <f>ROUND(365*mech_uptime*H117,0)</f>
        <v/>
      </c>
      <c r="M117" s="35">
        <f>mech_uptime</f>
        <v/>
      </c>
      <c r="N117" s="35">
        <f>revleg_sel</f>
        <v/>
      </c>
      <c r="O117" s="34">
        <f>ROUND(K117*L117*revleg_sel,0)</f>
        <v/>
      </c>
      <c r="P117" s="36">
        <f>load_sel</f>
        <v/>
      </c>
      <c r="Q117" s="36">
        <f>pax_cap*P117</f>
        <v/>
      </c>
      <c r="R117" s="34">
        <f>Q117*O117</f>
        <v/>
      </c>
      <c r="S117" s="37">
        <f>E117*discount</f>
        <v/>
      </c>
      <c r="T117" s="38">
        <f>S117*R117</f>
        <v/>
      </c>
      <c r="U117" s="38">
        <f>(battery/range_nm)*D117*O117*VLOOKUP(B117,country_opex,3,FALSE)</f>
        <v/>
      </c>
      <c r="V117" s="38">
        <f>VLOOKUP(B117,country_opex,2,FALSE)*crew_factor</f>
        <v/>
      </c>
      <c r="W117" s="38">
        <f>VLOOKUP(B117,country_opex,5,FALSE)</f>
        <v/>
      </c>
      <c r="X117" s="38">
        <f>maint</f>
        <v/>
      </c>
      <c r="Y117" s="38">
        <f>VLOOKUP(B117,country_opex,7,FALSE)*ins_pct</f>
        <v/>
      </c>
      <c r="Z117" s="38">
        <f>charge_berth</f>
        <v/>
      </c>
      <c r="AA117" s="38">
        <f>U117+V117+W117+X117+Y117+Z117</f>
        <v/>
      </c>
      <c r="AB117" s="38">
        <f>VLOOKUP(B117,country_opex,7,FALSE)/dep_years</f>
        <v/>
      </c>
      <c r="AC117" s="38">
        <f>T117-AA117</f>
        <v/>
      </c>
      <c r="AD117" s="35">
        <f>IF(T117=0,"",AC117/T117)</f>
        <v/>
      </c>
      <c r="AE117" s="36">
        <f>IF(AC117&lt;=0,"",VLOOKUP(B117,country_opex,7,FALSE)/AC117)</f>
        <v/>
      </c>
      <c r="AF117" s="33">
        <f>((D117*O117/diesel_nmpg)*diesel_co2pg-(battery/range_nm)*D117*O117*VLOOKUP(B117,country_opex,4,FALSE))/1000</f>
        <v/>
      </c>
      <c r="AG117" s="31" t="n"/>
      <c r="AH117" s="32" t="n"/>
      <c r="AI117" s="32" t="n"/>
      <c r="AJ117" s="39" t="n">
        <v>0.1</v>
      </c>
      <c r="AK117" s="34">
        <f>IF(AG117="","",AG117*AJ117)</f>
        <v/>
      </c>
      <c r="AL117" s="34">
        <f>IF(OR(AG117="",R117=0),"",MIN(IF(AS117="",9.9E+99,AS117),FLOOR(AK117/R117,1)))</f>
        <v/>
      </c>
      <c r="AM117" s="38">
        <f>IF(AL117="","",AL117*T117)</f>
        <v/>
      </c>
      <c r="AN117" s="36">
        <f>IF(OR(AG117="",R117=0),"",MIN(IF(AS117="",9.9E+99,AS117),AK117/R117))</f>
        <v/>
      </c>
      <c r="AO117" s="38">
        <f>IF(AN117="","",AN117*T117)</f>
        <v/>
      </c>
      <c r="AP117" s="40" t="n"/>
      <c r="AQ117" s="41" t="n"/>
      <c r="AR117" s="41" t="n"/>
      <c r="AS117" s="42" t="n"/>
      <c r="AT117" s="43">
        <f>IF(((S117*pax_cap*load_thin*ROUND(K117*L117*revleg_thin,0))-(((battery/range_nm)*D117*ROUND(K117*L117*revleg_thin,0)*VLOOKUP(B117,country_opex,3,FALSE))+V117+W117+X117+Y117+Z117))&lt;=0,"",VLOOKUP(B117,country_opex,7,FALSE)/((S117*pax_cap*load_thin*ROUND(K117*L117*revleg_thin,0))-(((battery/range_nm)*D117*ROUND(K117*L117*revleg_thin,0)*VLOOKUP(B117,country_opex,3,FALSE))+V117+W117+X117+Y117+Z117)))</f>
        <v/>
      </c>
      <c r="AU117" s="43">
        <f>IF(((S117*pax_cap*load_mid*ROUND(K117*L117*revleg_mid,0))-(((battery/range_nm)*D117*ROUND(K117*L117*revleg_mid,0)*VLOOKUP(B117,country_opex,3,FALSE))+V117+W117+X117+Y117+Z117))&lt;=0,"",VLOOKUP(B117,country_opex,7,FALSE)/((S117*pax_cap*load_mid*ROUND(K117*L117*revleg_mid,0))-(((battery/range_nm)*D117*ROUND(K117*L117*revleg_mid,0)*VLOOKUP(B117,country_opex,3,FALSE))+V117+W117+X117+Y117+Z117)))</f>
        <v/>
      </c>
      <c r="AV117" s="43">
        <f>IF(((S117*pax_cap*load_full*ROUND(K117*L117*revleg_full,0))-(((battery/range_nm)*D117*ROUND(K117*L117*revleg_full,0)*VLOOKUP(B117,country_opex,3,FALSE))+V117+W117+X117+Y117+Z117))&lt;=0,"",VLOOKUP(B117,country_opex,7,FALSE)/((S117*pax_cap*load_full*ROUND(K117*L117*revleg_full,0))-(((battery/range_nm)*D117*ROUND(K117*L117*revleg_full,0)*VLOOKUP(B117,country_opex,3,FALSE))+V117+W117+X117+Y117+Z117)))</f>
        <v/>
      </c>
      <c r="AW117" s="44" t="inlineStr">
        <is>
          <t>PREMIUM tier: Ria Formosa island-hopping tour Olhao -&gt; Farol/Culatra/Armona ~EUR 25-30 per seat (GetYourGuide) -&gt; ~$30.</t>
        </is>
      </c>
      <c r="AX117" s="44" t="n"/>
    </row>
    <row r="118">
      <c r="A118" s="29" t="inlineStr">
        <is>
          <t>Bolt Portugal</t>
        </is>
      </c>
      <c r="B118" s="29" t="inlineStr">
        <is>
          <t>Portugal</t>
        </is>
      </c>
      <c r="C118" s="30" t="inlineStr">
        <is>
          <t>Faro → Ilha Deserta (Barreta)</t>
        </is>
      </c>
      <c r="D118" s="31" t="n">
        <v>3</v>
      </c>
      <c r="E118" s="26" t="n">
        <v>30</v>
      </c>
      <c r="F118" s="32" t="inlineStr">
        <is>
          <t>T2</t>
        </is>
      </c>
      <c r="G118" s="32" t="inlineStr">
        <is>
          <t>med</t>
        </is>
      </c>
      <c r="H118" s="19" t="n">
        <v>1</v>
      </c>
      <c r="I118" s="33">
        <f>60*D118/cruise_kt</f>
        <v/>
      </c>
      <c r="J118" s="33">
        <f>I118+turn_min+dwell_min</f>
        <v/>
      </c>
      <c r="K118" s="34">
        <f>MIN(10,FLOOR(60*service_hr/J118,1))</f>
        <v/>
      </c>
      <c r="L118" s="34">
        <f>ROUND(365*mech_uptime*H118,0)</f>
        <v/>
      </c>
      <c r="M118" s="35">
        <f>mech_uptime</f>
        <v/>
      </c>
      <c r="N118" s="35">
        <f>revleg_sel</f>
        <v/>
      </c>
      <c r="O118" s="34">
        <f>ROUND(K118*L118*revleg_sel,0)</f>
        <v/>
      </c>
      <c r="P118" s="36">
        <f>load_sel</f>
        <v/>
      </c>
      <c r="Q118" s="36">
        <f>pax_cap*P118</f>
        <v/>
      </c>
      <c r="R118" s="34">
        <f>Q118*O118</f>
        <v/>
      </c>
      <c r="S118" s="37">
        <f>E118*discount</f>
        <v/>
      </c>
      <c r="T118" s="38">
        <f>S118*R118</f>
        <v/>
      </c>
      <c r="U118" s="38">
        <f>(battery/range_nm)*D118*O118*VLOOKUP(B118,country_opex,3,FALSE)</f>
        <v/>
      </c>
      <c r="V118" s="38">
        <f>VLOOKUP(B118,country_opex,2,FALSE)*crew_factor</f>
        <v/>
      </c>
      <c r="W118" s="38">
        <f>VLOOKUP(B118,country_opex,5,FALSE)</f>
        <v/>
      </c>
      <c r="X118" s="38">
        <f>maint</f>
        <v/>
      </c>
      <c r="Y118" s="38">
        <f>VLOOKUP(B118,country_opex,7,FALSE)*ins_pct</f>
        <v/>
      </c>
      <c r="Z118" s="38">
        <f>charge_berth</f>
        <v/>
      </c>
      <c r="AA118" s="38">
        <f>U118+V118+W118+X118+Y118+Z118</f>
        <v/>
      </c>
      <c r="AB118" s="38">
        <f>VLOOKUP(B118,country_opex,7,FALSE)/dep_years</f>
        <v/>
      </c>
      <c r="AC118" s="38">
        <f>T118-AA118</f>
        <v/>
      </c>
      <c r="AD118" s="35">
        <f>IF(T118=0,"",AC118/T118)</f>
        <v/>
      </c>
      <c r="AE118" s="36">
        <f>IF(AC118&lt;=0,"",VLOOKUP(B118,country_opex,7,FALSE)/AC118)</f>
        <v/>
      </c>
      <c r="AF118" s="33">
        <f>((D118*O118/diesel_nmpg)*diesel_co2pg-(battery/range_nm)*D118*O118*VLOOKUP(B118,country_opex,4,FALSE))/1000</f>
        <v/>
      </c>
      <c r="AG118" s="31" t="n"/>
      <c r="AH118" s="32" t="n"/>
      <c r="AI118" s="32" t="n"/>
      <c r="AJ118" s="39" t="n">
        <v>0.1</v>
      </c>
      <c r="AK118" s="34">
        <f>IF(AG118="","",AG118*AJ118)</f>
        <v/>
      </c>
      <c r="AL118" s="34">
        <f>IF(OR(AG118="",R118=0),"",MIN(IF(AS118="",9.9E+99,AS118),FLOOR(AK118/R118,1)))</f>
        <v/>
      </c>
      <c r="AM118" s="38">
        <f>IF(AL118="","",AL118*T118)</f>
        <v/>
      </c>
      <c r="AN118" s="36">
        <f>IF(OR(AG118="",R118=0),"",MIN(IF(AS118="",9.9E+99,AS118),AK118/R118))</f>
        <v/>
      </c>
      <c r="AO118" s="38">
        <f>IF(AN118="","",AN118*T118)</f>
        <v/>
      </c>
      <c r="AP118" s="40" t="n"/>
      <c r="AQ118" s="41" t="n"/>
      <c r="AR118" s="41" t="n"/>
      <c r="AS118" s="42" t="n"/>
      <c r="AT118" s="43">
        <f>IF(((S118*pax_cap*load_thin*ROUND(K118*L118*revleg_thin,0))-(((battery/range_nm)*D118*ROUND(K118*L118*revleg_thin,0)*VLOOKUP(B118,country_opex,3,FALSE))+V118+W118+X118+Y118+Z118))&lt;=0,"",VLOOKUP(B118,country_opex,7,FALSE)/((S118*pax_cap*load_thin*ROUND(K118*L118*revleg_thin,0))-(((battery/range_nm)*D118*ROUND(K118*L118*revleg_thin,0)*VLOOKUP(B118,country_opex,3,FALSE))+V118+W118+X118+Y118+Z118)))</f>
        <v/>
      </c>
      <c r="AU118" s="43">
        <f>IF(((S118*pax_cap*load_mid*ROUND(K118*L118*revleg_mid,0))-(((battery/range_nm)*D118*ROUND(K118*L118*revleg_mid,0)*VLOOKUP(B118,country_opex,3,FALSE))+V118+W118+X118+Y118+Z118))&lt;=0,"",VLOOKUP(B118,country_opex,7,FALSE)/((S118*pax_cap*load_mid*ROUND(K118*L118*revleg_mid,0))-(((battery/range_nm)*D118*ROUND(K118*L118*revleg_mid,0)*VLOOKUP(B118,country_opex,3,FALSE))+V118+W118+X118+Y118+Z118)))</f>
        <v/>
      </c>
      <c r="AV118" s="43">
        <f>IF(((S118*pax_cap*load_full*ROUND(K118*L118*revleg_full,0))-(((battery/range_nm)*D118*ROUND(K118*L118*revleg_full,0)*VLOOKUP(B118,country_opex,3,FALSE))+V118+W118+X118+Y118+Z118))&lt;=0,"",VLOOKUP(B118,country_opex,7,FALSE)/((S118*pax_cap*load_full*ROUND(K118*L118*revleg_full,0))-(((battery/range_nm)*D118*ROUND(K118*L118*revleg_full,0)*VLOOKUP(B118,country_opex,3,FALSE))+V118+W118+X118+Y118+Z118)))</f>
        <v/>
      </c>
      <c r="AW118" s="44" t="inlineStr">
        <is>
          <t>PREMIUM tier: solar/eco boat tour Faro -&gt; Ilha Deserta ~EUR 28-30 per seat (GetYourGuide / Animaris / Lands eco boat tours) -&gt; ~$30.</t>
        </is>
      </c>
      <c r="AX118" s="44" t="n"/>
    </row>
    <row r="119">
      <c r="A119" s="29" t="inlineStr">
        <is>
          <t>Bolt Portugal</t>
        </is>
      </c>
      <c r="B119" s="29" t="inlineStr">
        <is>
          <t>Portugal</t>
        </is>
      </c>
      <c r="C119" s="30" t="inlineStr">
        <is>
          <t>Cais do Sodre (Lisbon) → Seixal</t>
        </is>
      </c>
      <c r="D119" s="31" t="n">
        <v>4.6</v>
      </c>
      <c r="E119" s="26" t="n">
        <v>18</v>
      </c>
      <c r="F119" s="32" t="inlineStr">
        <is>
          <t>T2</t>
        </is>
      </c>
      <c r="G119" s="32" t="inlineStr">
        <is>
          <t>med</t>
        </is>
      </c>
      <c r="H119" s="19" t="n">
        <v>1</v>
      </c>
      <c r="I119" s="33">
        <f>60*D119/cruise_kt</f>
        <v/>
      </c>
      <c r="J119" s="33">
        <f>I119+turn_min+dwell_min</f>
        <v/>
      </c>
      <c r="K119" s="34">
        <f>MIN(16,FLOOR(60*service_hr/J119,1))</f>
        <v/>
      </c>
      <c r="L119" s="34">
        <f>ROUND(365*mech_uptime*H119,0)</f>
        <v/>
      </c>
      <c r="M119" s="35">
        <f>mech_uptime</f>
        <v/>
      </c>
      <c r="N119" s="35">
        <f>revleg_sel</f>
        <v/>
      </c>
      <c r="O119" s="34">
        <f>ROUND(K119*L119*revleg_sel,0)</f>
        <v/>
      </c>
      <c r="P119" s="36">
        <f>load_sel</f>
        <v/>
      </c>
      <c r="Q119" s="36">
        <f>pax_cap*P119</f>
        <v/>
      </c>
      <c r="R119" s="34">
        <f>Q119*O119</f>
        <v/>
      </c>
      <c r="S119" s="37">
        <f>E119*discount</f>
        <v/>
      </c>
      <c r="T119" s="38">
        <f>S119*R119</f>
        <v/>
      </c>
      <c r="U119" s="38">
        <f>(battery/range_nm)*D119*O119*VLOOKUP(B119,country_opex,3,FALSE)</f>
        <v/>
      </c>
      <c r="V119" s="38">
        <f>VLOOKUP(B119,country_opex,2,FALSE)*crew_factor</f>
        <v/>
      </c>
      <c r="W119" s="38">
        <f>VLOOKUP(B119,country_opex,5,FALSE)</f>
        <v/>
      </c>
      <c r="X119" s="38">
        <f>maint</f>
        <v/>
      </c>
      <c r="Y119" s="38">
        <f>VLOOKUP(B119,country_opex,7,FALSE)*ins_pct</f>
        <v/>
      </c>
      <c r="Z119" s="38">
        <f>charge_berth</f>
        <v/>
      </c>
      <c r="AA119" s="38">
        <f>U119+V119+W119+X119+Y119+Z119</f>
        <v/>
      </c>
      <c r="AB119" s="38">
        <f>VLOOKUP(B119,country_opex,7,FALSE)/dep_years</f>
        <v/>
      </c>
      <c r="AC119" s="38">
        <f>T119-AA119</f>
        <v/>
      </c>
      <c r="AD119" s="35">
        <f>IF(T119=0,"",AC119/T119)</f>
        <v/>
      </c>
      <c r="AE119" s="36">
        <f>IF(AC119&lt;=0,"",VLOOKUP(B119,country_opex,7,FALSE)/AC119)</f>
        <v/>
      </c>
      <c r="AF119" s="33">
        <f>((D119*O119/diesel_nmpg)*diesel_co2pg-(battery/range_nm)*D119*O119*VLOOKUP(B119,country_opex,4,FALSE))/1000</f>
        <v/>
      </c>
      <c r="AG119" s="31" t="n">
        <v>183931</v>
      </c>
      <c r="AH119" s="32" t="n"/>
      <c r="AI119" s="32" t="inlineStr">
        <is>
          <t>med</t>
        </is>
      </c>
      <c r="AJ119" s="39" t="n">
        <v>0.25</v>
      </c>
      <c r="AK119" s="34">
        <f>IF(AG119="","",AG119*AJ119)</f>
        <v/>
      </c>
      <c r="AL119" s="34">
        <f>IF(OR(AG119="",R119=0),"",MIN(IF(AS119="",9.9E+99,AS119),FLOOR(AK119/R119,1)))</f>
        <v/>
      </c>
      <c r="AM119" s="38">
        <f>IF(AL119="","",AL119*T119)</f>
        <v/>
      </c>
      <c r="AN119" s="36">
        <f>IF(OR(AG119="",R119=0),"",MIN(IF(AS119="",9.9E+99,AS119),AK119/R119))</f>
        <v/>
      </c>
      <c r="AO119" s="38">
        <f>IF(AN119="","",AN119*T119)</f>
        <v/>
      </c>
      <c r="AP119" s="40" t="n"/>
      <c r="AQ119" s="41" t="n"/>
      <c r="AR119" s="41" t="n"/>
      <c r="AS119" s="42" t="n"/>
      <c r="AT119" s="43">
        <f>IF(((S119*pax_cap*load_thin*ROUND(K119*L119*revleg_thin,0))-(((battery/range_nm)*D119*ROUND(K119*L119*revleg_thin,0)*VLOOKUP(B119,country_opex,3,FALSE))+V119+W119+X119+Y119+Z119))&lt;=0,"",VLOOKUP(B119,country_opex,7,FALSE)/((S119*pax_cap*load_thin*ROUND(K119*L119*revleg_thin,0))-(((battery/range_nm)*D119*ROUND(K119*L119*revleg_thin,0)*VLOOKUP(B119,country_opex,3,FALSE))+V119+W119+X119+Y119+Z119)))</f>
        <v/>
      </c>
      <c r="AU119" s="43">
        <f>IF(((S119*pax_cap*load_mid*ROUND(K119*L119*revleg_mid,0))-(((battery/range_nm)*D119*ROUND(K119*L119*revleg_mid,0)*VLOOKUP(B119,country_opex,3,FALSE))+V119+W119+X119+Y119+Z119))&lt;=0,"",VLOOKUP(B119,country_opex,7,FALSE)/((S119*pax_cap*load_mid*ROUND(K119*L119*revleg_mid,0))-(((battery/range_nm)*D119*ROUND(K119*L119*revleg_mid,0)*VLOOKUP(B119,country_opex,3,FALSE))+V119+W119+X119+Y119+Z119)))</f>
        <v/>
      </c>
      <c r="AV119" s="43">
        <f>IF(((S119*pax_cap*load_full*ROUND(K119*L119*revleg_full,0))-(((battery/range_nm)*D119*ROUND(K119*L119*revleg_full,0)*VLOOKUP(B119,country_opex,3,FALSE))+V119+W119+X119+Y119+Z119))&lt;=0,"",VLOOKUP(B119,country_opex,7,FALSE)/((S119*pax_cap*load_full*ROUND(K119*L119*revleg_full,0))-(((battery/range_nm)*D119*ROUND(K119*L119*revleg_full,0)*VLOOKUP(B119,country_opex,3,FALSE))+V119+W119+X119+Y119+Z119)))</f>
        <v/>
      </c>
      <c r="AW119" s="44" t="inlineStr">
        <is>
          <t>[LB-255 PREMIUM RE-FARE: subsidized comparable $3.02 lifted to premium on-demand floor $18.0] Public-transit adult single Seixal/Cais do Sodre = EUR 2.80 (TTSL 2024 tariff) x1.08 = ~$3.02.</t>
        </is>
      </c>
      <c r="AX119" s="44" t="n"/>
    </row>
    <row r="120">
      <c r="A120" s="29" t="inlineStr">
        <is>
          <t>Bolt Portugal</t>
        </is>
      </c>
      <c r="B120" s="29" t="inlineStr">
        <is>
          <t>Portugal</t>
        </is>
      </c>
      <c r="C120" s="30" t="inlineStr">
        <is>
          <t>Terreiro do Paco (Lisbon) → Barreiro</t>
        </is>
      </c>
      <c r="D120" s="31" t="n">
        <v>5</v>
      </c>
      <c r="E120" s="26" t="n">
        <v>18</v>
      </c>
      <c r="F120" s="32" t="inlineStr">
        <is>
          <t>T2</t>
        </is>
      </c>
      <c r="G120" s="32" t="inlineStr">
        <is>
          <t>med</t>
        </is>
      </c>
      <c r="H120" s="19" t="n">
        <v>1</v>
      </c>
      <c r="I120" s="33">
        <f>60*D120/cruise_kt</f>
        <v/>
      </c>
      <c r="J120" s="33">
        <f>I120+turn_min+dwell_min</f>
        <v/>
      </c>
      <c r="K120" s="34">
        <f>MIN(16,FLOOR(60*service_hr/J120,1))</f>
        <v/>
      </c>
      <c r="L120" s="34">
        <f>ROUND(365*mech_uptime*H120,0)</f>
        <v/>
      </c>
      <c r="M120" s="35">
        <f>mech_uptime</f>
        <v/>
      </c>
      <c r="N120" s="35">
        <f>revleg_sel</f>
        <v/>
      </c>
      <c r="O120" s="34">
        <f>ROUND(K120*L120*revleg_sel,0)</f>
        <v/>
      </c>
      <c r="P120" s="36">
        <f>load_sel</f>
        <v/>
      </c>
      <c r="Q120" s="36">
        <f>pax_cap*P120</f>
        <v/>
      </c>
      <c r="R120" s="34">
        <f>Q120*O120</f>
        <v/>
      </c>
      <c r="S120" s="37">
        <f>E120*discount</f>
        <v/>
      </c>
      <c r="T120" s="38">
        <f>S120*R120</f>
        <v/>
      </c>
      <c r="U120" s="38">
        <f>(battery/range_nm)*D120*O120*VLOOKUP(B120,country_opex,3,FALSE)</f>
        <v/>
      </c>
      <c r="V120" s="38">
        <f>VLOOKUP(B120,country_opex,2,FALSE)*crew_factor</f>
        <v/>
      </c>
      <c r="W120" s="38">
        <f>VLOOKUP(B120,country_opex,5,FALSE)</f>
        <v/>
      </c>
      <c r="X120" s="38">
        <f>maint</f>
        <v/>
      </c>
      <c r="Y120" s="38">
        <f>VLOOKUP(B120,country_opex,7,FALSE)*ins_pct</f>
        <v/>
      </c>
      <c r="Z120" s="38">
        <f>charge_berth</f>
        <v/>
      </c>
      <c r="AA120" s="38">
        <f>U120+V120+W120+X120+Y120+Z120</f>
        <v/>
      </c>
      <c r="AB120" s="38">
        <f>VLOOKUP(B120,country_opex,7,FALSE)/dep_years</f>
        <v/>
      </c>
      <c r="AC120" s="38">
        <f>T120-AA120</f>
        <v/>
      </c>
      <c r="AD120" s="35">
        <f>IF(T120=0,"",AC120/T120)</f>
        <v/>
      </c>
      <c r="AE120" s="36">
        <f>IF(AC120&lt;=0,"",VLOOKUP(B120,country_opex,7,FALSE)/AC120)</f>
        <v/>
      </c>
      <c r="AF120" s="33">
        <f>((D120*O120/diesel_nmpg)*diesel_co2pg-(battery/range_nm)*D120*O120*VLOOKUP(B120,country_opex,4,FALSE))/1000</f>
        <v/>
      </c>
      <c r="AG120" s="31" t="n">
        <v>1777523</v>
      </c>
      <c r="AH120" s="32" t="n"/>
      <c r="AI120" s="32" t="inlineStr">
        <is>
          <t>med</t>
        </is>
      </c>
      <c r="AJ120" s="39" t="n">
        <v>0.25</v>
      </c>
      <c r="AK120" s="34">
        <f>IF(AG120="","",AG120*AJ120)</f>
        <v/>
      </c>
      <c r="AL120" s="34">
        <f>IF(OR(AG120="",R120=0),"",MIN(IF(AS120="",9.9E+99,AS120),FLOOR(AK120/R120,1)))</f>
        <v/>
      </c>
      <c r="AM120" s="38">
        <f>IF(AL120="","",AL120*T120)</f>
        <v/>
      </c>
      <c r="AN120" s="36">
        <f>IF(OR(AG120="",R120=0),"",MIN(IF(AS120="",9.9E+99,AS120),AK120/R120))</f>
        <v/>
      </c>
      <c r="AO120" s="38">
        <f>IF(AN120="","",AN120*T120)</f>
        <v/>
      </c>
      <c r="AP120" s="40" t="n"/>
      <c r="AQ120" s="41" t="n"/>
      <c r="AR120" s="41" t="n"/>
      <c r="AS120" s="42" t="n"/>
      <c r="AT120" s="43">
        <f>IF(((S120*pax_cap*load_thin*ROUND(K120*L120*revleg_thin,0))-(((battery/range_nm)*D120*ROUND(K120*L120*revleg_thin,0)*VLOOKUP(B120,country_opex,3,FALSE))+V120+W120+X120+Y120+Z120))&lt;=0,"",VLOOKUP(B120,country_opex,7,FALSE)/((S120*pax_cap*load_thin*ROUND(K120*L120*revleg_thin,0))-(((battery/range_nm)*D120*ROUND(K120*L120*revleg_thin,0)*VLOOKUP(B120,country_opex,3,FALSE))+V120+W120+X120+Y120+Z120)))</f>
        <v/>
      </c>
      <c r="AU120" s="43">
        <f>IF(((S120*pax_cap*load_mid*ROUND(K120*L120*revleg_mid,0))-(((battery/range_nm)*D120*ROUND(K120*L120*revleg_mid,0)*VLOOKUP(B120,country_opex,3,FALSE))+V120+W120+X120+Y120+Z120))&lt;=0,"",VLOOKUP(B120,country_opex,7,FALSE)/((S120*pax_cap*load_mid*ROUND(K120*L120*revleg_mid,0))-(((battery/range_nm)*D120*ROUND(K120*L120*revleg_mid,0)*VLOOKUP(B120,country_opex,3,FALSE))+V120+W120+X120+Y120+Z120)))</f>
        <v/>
      </c>
      <c r="AV120" s="43">
        <f>IF(((S120*pax_cap*load_full*ROUND(K120*L120*revleg_full,0))-(((battery/range_nm)*D120*ROUND(K120*L120*revleg_full,0)*VLOOKUP(B120,country_opex,3,FALSE))+V120+W120+X120+Y120+Z120))&lt;=0,"",VLOOKUP(B120,country_opex,7,FALSE)/((S120*pax_cap*load_full*ROUND(K120*L120*revleg_full,0))-(((battery/range_nm)*D120*ROUND(K120*L120*revleg_full,0)*VLOOKUP(B120,country_opex,3,FALSE))+V120+W120+X120+Y120+Z120)))</f>
        <v/>
      </c>
      <c r="AW120" s="44" t="inlineStr">
        <is>
          <t>[LB-255 PREMIUM RE-FARE: subsidized comparable $3.02 lifted to premium on-demand floor $18.0] Public-transit adult single Barreiro/Terreiro do Paco = EUR 2.80 (TTSL 2024 tariff) x1.08 = ~$3.02.</t>
        </is>
      </c>
      <c r="AX120" s="44" t="n"/>
    </row>
    <row r="121">
      <c r="A121" s="29" t="inlineStr">
        <is>
          <t>Bolt Portugal</t>
        </is>
      </c>
      <c r="B121" s="29" t="inlineStr">
        <is>
          <t>Portugal</t>
        </is>
      </c>
      <c r="C121" s="30" t="inlineStr">
        <is>
          <t>Portimao → Benagil</t>
        </is>
      </c>
      <c r="D121" s="31" t="n">
        <v>6</v>
      </c>
      <c r="E121" s="26" t="n">
        <v>45</v>
      </c>
      <c r="F121" s="32" t="inlineStr">
        <is>
          <t>T2</t>
        </is>
      </c>
      <c r="G121" s="32" t="inlineStr">
        <is>
          <t>med</t>
        </is>
      </c>
      <c r="H121" s="19" t="n">
        <v>1</v>
      </c>
      <c r="I121" s="33">
        <f>60*D121/cruise_kt</f>
        <v/>
      </c>
      <c r="J121" s="33">
        <f>I121+turn_min+dwell_min</f>
        <v/>
      </c>
      <c r="K121" s="34">
        <f>MIN(10,FLOOR(60*service_hr/J121,1))</f>
        <v/>
      </c>
      <c r="L121" s="34">
        <f>ROUND(365*mech_uptime*H121,0)</f>
        <v/>
      </c>
      <c r="M121" s="35">
        <f>mech_uptime</f>
        <v/>
      </c>
      <c r="N121" s="35">
        <f>revleg_sel</f>
        <v/>
      </c>
      <c r="O121" s="34">
        <f>ROUND(K121*L121*revleg_sel,0)</f>
        <v/>
      </c>
      <c r="P121" s="36">
        <f>load_sel</f>
        <v/>
      </c>
      <c r="Q121" s="36">
        <f>pax_cap*P121</f>
        <v/>
      </c>
      <c r="R121" s="34">
        <f>Q121*O121</f>
        <v/>
      </c>
      <c r="S121" s="37">
        <f>E121*discount</f>
        <v/>
      </c>
      <c r="T121" s="38">
        <f>S121*R121</f>
        <v/>
      </c>
      <c r="U121" s="38">
        <f>(battery/range_nm)*D121*O121*VLOOKUP(B121,country_opex,3,FALSE)</f>
        <v/>
      </c>
      <c r="V121" s="38">
        <f>VLOOKUP(B121,country_opex,2,FALSE)*crew_factor</f>
        <v/>
      </c>
      <c r="W121" s="38">
        <f>VLOOKUP(B121,country_opex,5,FALSE)</f>
        <v/>
      </c>
      <c r="X121" s="38">
        <f>maint</f>
        <v/>
      </c>
      <c r="Y121" s="38">
        <f>VLOOKUP(B121,country_opex,7,FALSE)*ins_pct</f>
        <v/>
      </c>
      <c r="Z121" s="38">
        <f>charge_berth</f>
        <v/>
      </c>
      <c r="AA121" s="38">
        <f>U121+V121+W121+X121+Y121+Z121</f>
        <v/>
      </c>
      <c r="AB121" s="38">
        <f>VLOOKUP(B121,country_opex,7,FALSE)/dep_years</f>
        <v/>
      </c>
      <c r="AC121" s="38">
        <f>T121-AA121</f>
        <v/>
      </c>
      <c r="AD121" s="35">
        <f>IF(T121=0,"",AC121/T121)</f>
        <v/>
      </c>
      <c r="AE121" s="36">
        <f>IF(AC121&lt;=0,"",VLOOKUP(B121,country_opex,7,FALSE)/AC121)</f>
        <v/>
      </c>
      <c r="AF121" s="33">
        <f>((D121*O121/diesel_nmpg)*diesel_co2pg-(battery/range_nm)*D121*O121*VLOOKUP(B121,country_opex,4,FALSE))/1000</f>
        <v/>
      </c>
      <c r="AG121" s="31" t="n"/>
      <c r="AH121" s="32" t="n"/>
      <c r="AI121" s="32" t="n"/>
      <c r="AJ121" s="39" t="n">
        <v>0.1</v>
      </c>
      <c r="AK121" s="34">
        <f>IF(AG121="","",AG121*AJ121)</f>
        <v/>
      </c>
      <c r="AL121" s="34">
        <f>IF(OR(AG121="",R121=0),"",MIN(IF(AS121="",9.9E+99,AS121),FLOOR(AK121/R121,1)))</f>
        <v/>
      </c>
      <c r="AM121" s="38">
        <f>IF(AL121="","",AL121*T121)</f>
        <v/>
      </c>
      <c r="AN121" s="36">
        <f>IF(OR(AG121="",R121=0),"",MIN(IF(AS121="",9.9E+99,AS121),AK121/R121))</f>
        <v/>
      </c>
      <c r="AO121" s="38">
        <f>IF(AN121="","",AN121*T121)</f>
        <v/>
      </c>
      <c r="AP121" s="40" t="n"/>
      <c r="AQ121" s="41" t="n"/>
      <c r="AR121" s="41" t="n"/>
      <c r="AS121" s="42" t="n"/>
      <c r="AT121" s="43">
        <f>IF(((S121*pax_cap*load_thin*ROUND(K121*L121*revleg_thin,0))-(((battery/range_nm)*D121*ROUND(K121*L121*revleg_thin,0)*VLOOKUP(B121,country_opex,3,FALSE))+V121+W121+X121+Y121+Z121))&lt;=0,"",VLOOKUP(B121,country_opex,7,FALSE)/((S121*pax_cap*load_thin*ROUND(K121*L121*revleg_thin,0))-(((battery/range_nm)*D121*ROUND(K121*L121*revleg_thin,0)*VLOOKUP(B121,country_opex,3,FALSE))+V121+W121+X121+Y121+Z121)))</f>
        <v/>
      </c>
      <c r="AU121" s="43">
        <f>IF(((S121*pax_cap*load_mid*ROUND(K121*L121*revleg_mid,0))-(((battery/range_nm)*D121*ROUND(K121*L121*revleg_mid,0)*VLOOKUP(B121,country_opex,3,FALSE))+V121+W121+X121+Y121+Z121))&lt;=0,"",VLOOKUP(B121,country_opex,7,FALSE)/((S121*pax_cap*load_mid*ROUND(K121*L121*revleg_mid,0))-(((battery/range_nm)*D121*ROUND(K121*L121*revleg_mid,0)*VLOOKUP(B121,country_opex,3,FALSE))+V121+W121+X121+Y121+Z121)))</f>
        <v/>
      </c>
      <c r="AV121" s="43">
        <f>IF(((S121*pax_cap*load_full*ROUND(K121*L121*revleg_full,0))-(((battery/range_nm)*D121*ROUND(K121*L121*revleg_full,0)*VLOOKUP(B121,country_opex,3,FALSE))+V121+W121+X121+Y121+Z121))&lt;=0,"",VLOOKUP(B121,country_opex,7,FALSE)/((S121*pax_cap*load_full*ROUND(K121*L121*revleg_full,0))-(((battery/range_nm)*D121*ROUND(K121*L121*revleg_full,0)*VLOOKUP(B121,country_opex,3,FALSE))+V121+W121+X121+Y121+Z121)))</f>
        <v/>
      </c>
      <c r="AW121" s="44" t="inlineStr">
        <is>
          <t>PREMIUM tier: Benagil + Marinha boat tour from Portimao ~EUR 35-50 per seat (GetYourGuide ~$40-50; private/luxury much higher) -&gt; ~$45.</t>
        </is>
      </c>
      <c r="AX121" s="44" t="n"/>
    </row>
    <row r="122">
      <c r="A122" s="29" t="inlineStr">
        <is>
          <t>Bolt Portugal</t>
        </is>
      </c>
      <c r="B122" s="29" t="inlineStr">
        <is>
          <t>Portugal</t>
        </is>
      </c>
      <c r="C122" s="30" t="inlineStr">
        <is>
          <t>Cais do Sodre (Lisbon) → Montijo</t>
        </is>
      </c>
      <c r="D122" s="31" t="n">
        <v>8.1</v>
      </c>
      <c r="E122" s="26" t="n">
        <v>18</v>
      </c>
      <c r="F122" s="32" t="inlineStr">
        <is>
          <t>T2</t>
        </is>
      </c>
      <c r="G122" s="32" t="inlineStr">
        <is>
          <t>med</t>
        </is>
      </c>
      <c r="H122" s="19" t="n">
        <v>1</v>
      </c>
      <c r="I122" s="33">
        <f>60*D122/cruise_kt</f>
        <v/>
      </c>
      <c r="J122" s="33">
        <f>I122+turn_min+dwell_min</f>
        <v/>
      </c>
      <c r="K122" s="34">
        <f>MIN(16,FLOOR(60*service_hr/J122,1))</f>
        <v/>
      </c>
      <c r="L122" s="34">
        <f>ROUND(365*mech_uptime*H122,0)</f>
        <v/>
      </c>
      <c r="M122" s="35">
        <f>mech_uptime</f>
        <v/>
      </c>
      <c r="N122" s="35">
        <f>revleg_sel</f>
        <v/>
      </c>
      <c r="O122" s="34">
        <f>ROUND(K122*L122*revleg_sel,0)</f>
        <v/>
      </c>
      <c r="P122" s="36">
        <f>load_sel</f>
        <v/>
      </c>
      <c r="Q122" s="36">
        <f>pax_cap*P122</f>
        <v/>
      </c>
      <c r="R122" s="34">
        <f>Q122*O122</f>
        <v/>
      </c>
      <c r="S122" s="37">
        <f>E122*discount</f>
        <v/>
      </c>
      <c r="T122" s="38">
        <f>S122*R122</f>
        <v/>
      </c>
      <c r="U122" s="38">
        <f>(battery/range_nm)*D122*O122*VLOOKUP(B122,country_opex,3,FALSE)</f>
        <v/>
      </c>
      <c r="V122" s="38">
        <f>VLOOKUP(B122,country_opex,2,FALSE)*crew_factor</f>
        <v/>
      </c>
      <c r="W122" s="38">
        <f>VLOOKUP(B122,country_opex,5,FALSE)</f>
        <v/>
      </c>
      <c r="X122" s="38">
        <f>maint</f>
        <v/>
      </c>
      <c r="Y122" s="38">
        <f>VLOOKUP(B122,country_opex,7,FALSE)*ins_pct</f>
        <v/>
      </c>
      <c r="Z122" s="38">
        <f>charge_berth</f>
        <v/>
      </c>
      <c r="AA122" s="38">
        <f>U122+V122+W122+X122+Y122+Z122</f>
        <v/>
      </c>
      <c r="AB122" s="38">
        <f>VLOOKUP(B122,country_opex,7,FALSE)/dep_years</f>
        <v/>
      </c>
      <c r="AC122" s="38">
        <f>T122-AA122</f>
        <v/>
      </c>
      <c r="AD122" s="35">
        <f>IF(T122=0,"",AC122/T122)</f>
        <v/>
      </c>
      <c r="AE122" s="36">
        <f>IF(AC122&lt;=0,"",VLOOKUP(B122,country_opex,7,FALSE)/AC122)</f>
        <v/>
      </c>
      <c r="AF122" s="33">
        <f>((D122*O122/diesel_nmpg)*diesel_co2pg-(battery/range_nm)*D122*O122*VLOOKUP(B122,country_opex,4,FALSE))/1000</f>
        <v/>
      </c>
      <c r="AG122" s="31" t="n">
        <v>168383</v>
      </c>
      <c r="AH122" s="32" t="n"/>
      <c r="AI122" s="32" t="inlineStr">
        <is>
          <t>med</t>
        </is>
      </c>
      <c r="AJ122" s="39" t="n">
        <v>0.25</v>
      </c>
      <c r="AK122" s="34">
        <f>IF(AG122="","",AG122*AJ122)</f>
        <v/>
      </c>
      <c r="AL122" s="34">
        <f>IF(OR(AG122="",R122=0),"",MIN(IF(AS122="",9.9E+99,AS122),FLOOR(AK122/R122,1)))</f>
        <v/>
      </c>
      <c r="AM122" s="38">
        <f>IF(AL122="","",AL122*T122)</f>
        <v/>
      </c>
      <c r="AN122" s="36">
        <f>IF(OR(AG122="",R122=0),"",MIN(IF(AS122="",9.9E+99,AS122),AK122/R122))</f>
        <v/>
      </c>
      <c r="AO122" s="38">
        <f>IF(AN122="","",AN122*T122)</f>
        <v/>
      </c>
      <c r="AP122" s="40" t="n"/>
      <c r="AQ122" s="41" t="n"/>
      <c r="AR122" s="41" t="n"/>
      <c r="AS122" s="42" t="n"/>
      <c r="AT122" s="43">
        <f>IF(((S122*pax_cap*load_thin*ROUND(K122*L122*revleg_thin,0))-(((battery/range_nm)*D122*ROUND(K122*L122*revleg_thin,0)*VLOOKUP(B122,country_opex,3,FALSE))+V122+W122+X122+Y122+Z122))&lt;=0,"",VLOOKUP(B122,country_opex,7,FALSE)/((S122*pax_cap*load_thin*ROUND(K122*L122*revleg_thin,0))-(((battery/range_nm)*D122*ROUND(K122*L122*revleg_thin,0)*VLOOKUP(B122,country_opex,3,FALSE))+V122+W122+X122+Y122+Z122)))</f>
        <v/>
      </c>
      <c r="AU122" s="43">
        <f>IF(((S122*pax_cap*load_mid*ROUND(K122*L122*revleg_mid,0))-(((battery/range_nm)*D122*ROUND(K122*L122*revleg_mid,0)*VLOOKUP(B122,country_opex,3,FALSE))+V122+W122+X122+Y122+Z122))&lt;=0,"",VLOOKUP(B122,country_opex,7,FALSE)/((S122*pax_cap*load_mid*ROUND(K122*L122*revleg_mid,0))-(((battery/range_nm)*D122*ROUND(K122*L122*revleg_mid,0)*VLOOKUP(B122,country_opex,3,FALSE))+V122+W122+X122+Y122+Z122)))</f>
        <v/>
      </c>
      <c r="AV122" s="43">
        <f>IF(((S122*pax_cap*load_full*ROUND(K122*L122*revleg_full,0))-(((battery/range_nm)*D122*ROUND(K122*L122*revleg_full,0)*VLOOKUP(B122,country_opex,3,FALSE))+V122+W122+X122+Y122+Z122))&lt;=0,"",VLOOKUP(B122,country_opex,7,FALSE)/((S122*pax_cap*load_full*ROUND(K122*L122*revleg_full,0))-(((battery/range_nm)*D122*ROUND(K122*L122*revleg_full,0)*VLOOKUP(B122,country_opex,3,FALSE))+V122+W122+X122+Y122+Z122)))</f>
        <v/>
      </c>
      <c r="AW122" s="44" t="inlineStr">
        <is>
          <t>[LB-255 PREMIUM RE-FARE: subsidized comparable $3.4 lifted to premium on-demand floor $18.0] Public-transit adult single Montijo/Cais do Sodre = EUR 3.15 (TTSL 2024 tariff) x1.08 = ~$3.40.</t>
        </is>
      </c>
      <c r="AX122" s="44" t="n"/>
    </row>
    <row r="123">
      <c r="A123" s="29" t="inlineStr">
        <is>
          <t>Bolt Portugal</t>
        </is>
      </c>
      <c r="B123" s="29" t="inlineStr">
        <is>
          <t>Portugal</t>
        </is>
      </c>
      <c r="C123" s="30" t="inlineStr">
        <is>
          <t>Cais do Sodre (Lisbon) → Cascais</t>
        </is>
      </c>
      <c r="D123" s="31" t="n">
        <v>13</v>
      </c>
      <c r="E123" s="26" t="n"/>
      <c r="F123" s="32" t="n"/>
      <c r="G123" s="32" t="n"/>
      <c r="H123" s="19" t="n">
        <v>1</v>
      </c>
      <c r="I123" s="33">
        <f>60*D123/cruise_kt</f>
        <v/>
      </c>
      <c r="J123" s="33">
        <f>I123+turn_min+dwell_min</f>
        <v/>
      </c>
      <c r="K123" s="34">
        <f>MIN(16,FLOOR(60*service_hr/J123,1))</f>
        <v/>
      </c>
      <c r="L123" s="34">
        <f>ROUND(365*mech_uptime*H123,0)</f>
        <v/>
      </c>
      <c r="M123" s="35">
        <f>mech_uptime</f>
        <v/>
      </c>
      <c r="N123" s="35">
        <f>revleg_sel</f>
        <v/>
      </c>
      <c r="O123" s="34">
        <f>ROUND(K123*L123*revleg_sel,0)</f>
        <v/>
      </c>
      <c r="P123" s="36">
        <f>load_sel</f>
        <v/>
      </c>
      <c r="Q123" s="36">
        <f>pax_cap*P123</f>
        <v/>
      </c>
      <c r="R123" s="34">
        <f>Q123*O123</f>
        <v/>
      </c>
      <c r="S123" s="37">
        <f>E123*discount</f>
        <v/>
      </c>
      <c r="T123" s="38">
        <f>S123*R123</f>
        <v/>
      </c>
      <c r="U123" s="38">
        <f>(battery/range_nm)*D123*O123*VLOOKUP(B123,country_opex,3,FALSE)</f>
        <v/>
      </c>
      <c r="V123" s="38">
        <f>VLOOKUP(B123,country_opex,2,FALSE)*crew_factor</f>
        <v/>
      </c>
      <c r="W123" s="38">
        <f>VLOOKUP(B123,country_opex,5,FALSE)</f>
        <v/>
      </c>
      <c r="X123" s="38">
        <f>maint</f>
        <v/>
      </c>
      <c r="Y123" s="38">
        <f>VLOOKUP(B123,country_opex,7,FALSE)*ins_pct</f>
        <v/>
      </c>
      <c r="Z123" s="38">
        <f>charge_berth</f>
        <v/>
      </c>
      <c r="AA123" s="38">
        <f>U123+V123+W123+X123+Y123+Z123</f>
        <v/>
      </c>
      <c r="AB123" s="38">
        <f>VLOOKUP(B123,country_opex,7,FALSE)/dep_years</f>
        <v/>
      </c>
      <c r="AC123" s="38">
        <f>T123-AA123</f>
        <v/>
      </c>
      <c r="AD123" s="35">
        <f>IF(T123=0,"",AC123/T123)</f>
        <v/>
      </c>
      <c r="AE123" s="36">
        <f>IF(AC123&lt;=0,"",VLOOKUP(B123,country_opex,7,FALSE)/AC123)</f>
        <v/>
      </c>
      <c r="AF123" s="33">
        <f>((D123*O123/diesel_nmpg)*diesel_co2pg-(battery/range_nm)*D123*O123*VLOOKUP(B123,country_opex,4,FALSE))/1000</f>
        <v/>
      </c>
      <c r="AG123" s="31" t="n">
        <v>1020000</v>
      </c>
      <c r="AH123" s="32" t="n"/>
      <c r="AI123" s="32" t="n"/>
      <c r="AJ123" s="39" t="n">
        <v>0.1</v>
      </c>
      <c r="AK123" s="34">
        <f>IF(AG123="","",AG123*AJ123)</f>
        <v/>
      </c>
      <c r="AL123" s="34">
        <f>IF(OR(AG123="",R123=0),"",MIN(IF(AS123="",9.9E+99,AS123),FLOOR(AK123/R123,1)))</f>
        <v/>
      </c>
      <c r="AM123" s="38">
        <f>IF(AL123="","",AL123*T123)</f>
        <v/>
      </c>
      <c r="AN123" s="36">
        <f>IF(OR(AG123="",R123=0),"",MIN(IF(AS123="",9.9E+99,AS123),AK123/R123))</f>
        <v/>
      </c>
      <c r="AO123" s="38">
        <f>IF(AN123="","",AN123*T123)</f>
        <v/>
      </c>
      <c r="AP123" s="40" t="n"/>
      <c r="AQ123" s="41" t="n"/>
      <c r="AR123" s="41" t="n"/>
      <c r="AS123" s="42" t="n"/>
      <c r="AT123" s="43">
        <f>IF(((S123*pax_cap*load_thin*ROUND(K123*L123*revleg_thin,0))-(((battery/range_nm)*D123*ROUND(K123*L123*revleg_thin,0)*VLOOKUP(B123,country_opex,3,FALSE))+V123+W123+X123+Y123+Z123))&lt;=0,"",VLOOKUP(B123,country_opex,7,FALSE)/((S123*pax_cap*load_thin*ROUND(K123*L123*revleg_thin,0))-(((battery/range_nm)*D123*ROUND(K123*L123*revleg_thin,0)*VLOOKUP(B123,country_opex,3,FALSE))+V123+W123+X123+Y123+Z123)))</f>
        <v/>
      </c>
      <c r="AU123" s="43">
        <f>IF(((S123*pax_cap*load_mid*ROUND(K123*L123*revleg_mid,0))-(((battery/range_nm)*D123*ROUND(K123*L123*revleg_mid,0)*VLOOKUP(B123,country_opex,3,FALSE))+V123+W123+X123+Y123+Z123))&lt;=0,"",VLOOKUP(B123,country_opex,7,FALSE)/((S123*pax_cap*load_mid*ROUND(K123*L123*revleg_mid,0))-(((battery/range_nm)*D123*ROUND(K123*L123*revleg_mid,0)*VLOOKUP(B123,country_opex,3,FALSE))+V123+W123+X123+Y123+Z123)))</f>
        <v/>
      </c>
      <c r="AV123" s="43">
        <f>IF(((S123*pax_cap*load_full*ROUND(K123*L123*revleg_full,0))-(((battery/range_nm)*D123*ROUND(K123*L123*revleg_full,0)*VLOOKUP(B123,country_opex,3,FALSE))+V123+W123+X123+Y123+Z123))&lt;=0,"",VLOOKUP(B123,country_opex,7,FALSE)/((S123*pax_cap*load_full*ROUND(K123*L123*revleg_full,0))-(((battery/range_nm)*D123*ROUND(K123*L123*revleg_full,0)*VLOOKUP(B123,country_opex,3,FALSE))+V123+W123+X123+Y123+Z123)))</f>
        <v/>
      </c>
      <c r="AW123" s="44" t="n"/>
      <c r="AX123" s="44" t="n"/>
    </row>
    <row r="124">
      <c r="A124" s="29" t="inlineStr">
        <is>
          <t>Bolt Qatar</t>
        </is>
      </c>
      <c r="B124" s="29" t="inlineStr">
        <is>
          <t>Qatar</t>
        </is>
      </c>
      <c r="C124" s="30" t="inlineStr">
        <is>
          <t>Lusail Marina → The Pearl</t>
        </is>
      </c>
      <c r="D124" s="31" t="n">
        <v>3.5</v>
      </c>
      <c r="E124" s="26" t="n"/>
      <c r="F124" s="32" t="n"/>
      <c r="G124" s="32" t="n"/>
      <c r="H124" s="19" t="n">
        <v>1</v>
      </c>
      <c r="I124" s="33">
        <f>60*D124/cruise_kt</f>
        <v/>
      </c>
      <c r="J124" s="33">
        <f>I124+turn_min+dwell_min</f>
        <v/>
      </c>
      <c r="K124" s="34">
        <f>MIN(10,FLOOR(60*service_hr/J124,1))</f>
        <v/>
      </c>
      <c r="L124" s="34">
        <f>ROUND(365*mech_uptime*H124,0)</f>
        <v/>
      </c>
      <c r="M124" s="35">
        <f>mech_uptime</f>
        <v/>
      </c>
      <c r="N124" s="35">
        <f>revleg_sel</f>
        <v/>
      </c>
      <c r="O124" s="34">
        <f>ROUND(K124*L124*revleg_sel,0)</f>
        <v/>
      </c>
      <c r="P124" s="36">
        <f>load_sel</f>
        <v/>
      </c>
      <c r="Q124" s="36">
        <f>pax_cap*P124</f>
        <v/>
      </c>
      <c r="R124" s="34">
        <f>Q124*O124</f>
        <v/>
      </c>
      <c r="S124" s="37">
        <f>E124*discount</f>
        <v/>
      </c>
      <c r="T124" s="38">
        <f>S124*R124</f>
        <v/>
      </c>
      <c r="U124" s="38">
        <f>(battery/range_nm)*D124*O124*VLOOKUP(B124,country_opex,3,FALSE)</f>
        <v/>
      </c>
      <c r="V124" s="38">
        <f>VLOOKUP(B124,country_opex,2,FALSE)*crew_factor</f>
        <v/>
      </c>
      <c r="W124" s="38">
        <f>VLOOKUP(B124,country_opex,5,FALSE)</f>
        <v/>
      </c>
      <c r="X124" s="38">
        <f>maint</f>
        <v/>
      </c>
      <c r="Y124" s="38">
        <f>VLOOKUP(B124,country_opex,7,FALSE)*ins_pct</f>
        <v/>
      </c>
      <c r="Z124" s="38">
        <f>charge_berth</f>
        <v/>
      </c>
      <c r="AA124" s="38">
        <f>U124+V124+W124+X124+Y124+Z124</f>
        <v/>
      </c>
      <c r="AB124" s="38">
        <f>VLOOKUP(B124,country_opex,7,FALSE)/dep_years</f>
        <v/>
      </c>
      <c r="AC124" s="38">
        <f>T124-AA124</f>
        <v/>
      </c>
      <c r="AD124" s="35">
        <f>IF(T124=0,"",AC124/T124)</f>
        <v/>
      </c>
      <c r="AE124" s="36">
        <f>IF(AC124&lt;=0,"",VLOOKUP(B124,country_opex,7,FALSE)/AC124)</f>
        <v/>
      </c>
      <c r="AF124" s="33">
        <f>((D124*O124/diesel_nmpg)*diesel_co2pg-(battery/range_nm)*D124*O124*VLOOKUP(B124,country_opex,4,FALSE))/1000</f>
        <v/>
      </c>
      <c r="AG124" s="31" t="n"/>
      <c r="AH124" s="32" t="n"/>
      <c r="AI124" s="32" t="n"/>
      <c r="AJ124" s="39" t="n">
        <v>0.1</v>
      </c>
      <c r="AK124" s="34">
        <f>IF(AG124="","",AG124*AJ124)</f>
        <v/>
      </c>
      <c r="AL124" s="34">
        <f>IF(OR(AG124="",R124=0),"",MIN(IF(AS124="",9.9E+99,AS124),FLOOR(AK124/R124,1)))</f>
        <v/>
      </c>
      <c r="AM124" s="38">
        <f>IF(AL124="","",AL124*T124)</f>
        <v/>
      </c>
      <c r="AN124" s="36">
        <f>IF(OR(AG124="",R124=0),"",MIN(IF(AS124="",9.9E+99,AS124),AK124/R124))</f>
        <v/>
      </c>
      <c r="AO124" s="38">
        <f>IF(AN124="","",AN124*T124)</f>
        <v/>
      </c>
      <c r="AP124" s="40" t="n"/>
      <c r="AQ124" s="41" t="n"/>
      <c r="AR124" s="41" t="n"/>
      <c r="AS124" s="42" t="n"/>
      <c r="AT124" s="43">
        <f>IF(((S124*pax_cap*load_thin*ROUND(K124*L124*revleg_thin,0))-(((battery/range_nm)*D124*ROUND(K124*L124*revleg_thin,0)*VLOOKUP(B124,country_opex,3,FALSE))+V124+W124+X124+Y124+Z124))&lt;=0,"",VLOOKUP(B124,country_opex,7,FALSE)/((S124*pax_cap*load_thin*ROUND(K124*L124*revleg_thin,0))-(((battery/range_nm)*D124*ROUND(K124*L124*revleg_thin,0)*VLOOKUP(B124,country_opex,3,FALSE))+V124+W124+X124+Y124+Z124)))</f>
        <v/>
      </c>
      <c r="AU124" s="43">
        <f>IF(((S124*pax_cap*load_mid*ROUND(K124*L124*revleg_mid,0))-(((battery/range_nm)*D124*ROUND(K124*L124*revleg_mid,0)*VLOOKUP(B124,country_opex,3,FALSE))+V124+W124+X124+Y124+Z124))&lt;=0,"",VLOOKUP(B124,country_opex,7,FALSE)/((S124*pax_cap*load_mid*ROUND(K124*L124*revleg_mid,0))-(((battery/range_nm)*D124*ROUND(K124*L124*revleg_mid,0)*VLOOKUP(B124,country_opex,3,FALSE))+V124+W124+X124+Y124+Z124)))</f>
        <v/>
      </c>
      <c r="AV124" s="43">
        <f>IF(((S124*pax_cap*load_full*ROUND(K124*L124*revleg_full,0))-(((battery/range_nm)*D124*ROUND(K124*L124*revleg_full,0)*VLOOKUP(B124,country_opex,3,FALSE))+V124+W124+X124+Y124+Z124))&lt;=0,"",VLOOKUP(B124,country_opex,7,FALSE)/((S124*pax_cap*load_full*ROUND(K124*L124*revleg_full,0))-(((battery/range_nm)*D124*ROUND(K124*L124*revleg_full,0)*VLOOKUP(B124,country_opex,3,FALSE))+V124+W124+X124+Y124+Z124)))</f>
        <v/>
      </c>
      <c r="AW124" s="44" t="n"/>
      <c r="AX124" s="44" t="n"/>
    </row>
    <row r="125">
      <c r="A125" s="29" t="inlineStr">
        <is>
          <t>Bolt Qatar</t>
        </is>
      </c>
      <c r="B125" s="29" t="inlineStr">
        <is>
          <t>Qatar</t>
        </is>
      </c>
      <c r="C125" s="30" t="inlineStr">
        <is>
          <t>Doha Corniche → The Pearl</t>
        </is>
      </c>
      <c r="D125" s="31" t="n">
        <v>4</v>
      </c>
      <c r="E125" s="26" t="n"/>
      <c r="F125" s="32" t="n"/>
      <c r="G125" s="32" t="n"/>
      <c r="H125" s="19" t="n">
        <v>1</v>
      </c>
      <c r="I125" s="33">
        <f>60*D125/cruise_kt</f>
        <v/>
      </c>
      <c r="J125" s="33">
        <f>I125+turn_min+dwell_min</f>
        <v/>
      </c>
      <c r="K125" s="34">
        <f>MIN(10,FLOOR(60*service_hr/J125,1))</f>
        <v/>
      </c>
      <c r="L125" s="34">
        <f>ROUND(365*mech_uptime*H125,0)</f>
        <v/>
      </c>
      <c r="M125" s="35">
        <f>mech_uptime</f>
        <v/>
      </c>
      <c r="N125" s="35">
        <f>revleg_sel</f>
        <v/>
      </c>
      <c r="O125" s="34">
        <f>ROUND(K125*L125*revleg_sel,0)</f>
        <v/>
      </c>
      <c r="P125" s="36">
        <f>load_sel</f>
        <v/>
      </c>
      <c r="Q125" s="36">
        <f>pax_cap*P125</f>
        <v/>
      </c>
      <c r="R125" s="34">
        <f>Q125*O125</f>
        <v/>
      </c>
      <c r="S125" s="37">
        <f>E125*discount</f>
        <v/>
      </c>
      <c r="T125" s="38">
        <f>S125*R125</f>
        <v/>
      </c>
      <c r="U125" s="38">
        <f>(battery/range_nm)*D125*O125*VLOOKUP(B125,country_opex,3,FALSE)</f>
        <v/>
      </c>
      <c r="V125" s="38">
        <f>VLOOKUP(B125,country_opex,2,FALSE)*crew_factor</f>
        <v/>
      </c>
      <c r="W125" s="38">
        <f>VLOOKUP(B125,country_opex,5,FALSE)</f>
        <v/>
      </c>
      <c r="X125" s="38">
        <f>maint</f>
        <v/>
      </c>
      <c r="Y125" s="38">
        <f>VLOOKUP(B125,country_opex,7,FALSE)*ins_pct</f>
        <v/>
      </c>
      <c r="Z125" s="38">
        <f>charge_berth</f>
        <v/>
      </c>
      <c r="AA125" s="38">
        <f>U125+V125+W125+X125+Y125+Z125</f>
        <v/>
      </c>
      <c r="AB125" s="38">
        <f>VLOOKUP(B125,country_opex,7,FALSE)/dep_years</f>
        <v/>
      </c>
      <c r="AC125" s="38">
        <f>T125-AA125</f>
        <v/>
      </c>
      <c r="AD125" s="35">
        <f>IF(T125=0,"",AC125/T125)</f>
        <v/>
      </c>
      <c r="AE125" s="36">
        <f>IF(AC125&lt;=0,"",VLOOKUP(B125,country_opex,7,FALSE)/AC125)</f>
        <v/>
      </c>
      <c r="AF125" s="33">
        <f>((D125*O125/diesel_nmpg)*diesel_co2pg-(battery/range_nm)*D125*O125*VLOOKUP(B125,country_opex,4,FALSE))/1000</f>
        <v/>
      </c>
      <c r="AG125" s="31" t="n"/>
      <c r="AH125" s="32" t="n"/>
      <c r="AI125" s="32" t="n"/>
      <c r="AJ125" s="39" t="n">
        <v>0.1</v>
      </c>
      <c r="AK125" s="34">
        <f>IF(AG125="","",AG125*AJ125)</f>
        <v/>
      </c>
      <c r="AL125" s="34">
        <f>IF(OR(AG125="",R125=0),"",MIN(IF(AS125="",9.9E+99,AS125),FLOOR(AK125/R125,1)))</f>
        <v/>
      </c>
      <c r="AM125" s="38">
        <f>IF(AL125="","",AL125*T125)</f>
        <v/>
      </c>
      <c r="AN125" s="36">
        <f>IF(OR(AG125="",R125=0),"",MIN(IF(AS125="",9.9E+99,AS125),AK125/R125))</f>
        <v/>
      </c>
      <c r="AO125" s="38">
        <f>IF(AN125="","",AN125*T125)</f>
        <v/>
      </c>
      <c r="AP125" s="40" t="n"/>
      <c r="AQ125" s="41" t="n"/>
      <c r="AR125" s="41" t="n"/>
      <c r="AS125" s="42" t="n"/>
      <c r="AT125" s="43">
        <f>IF(((S125*pax_cap*load_thin*ROUND(K125*L125*revleg_thin,0))-(((battery/range_nm)*D125*ROUND(K125*L125*revleg_thin,0)*VLOOKUP(B125,country_opex,3,FALSE))+V125+W125+X125+Y125+Z125))&lt;=0,"",VLOOKUP(B125,country_opex,7,FALSE)/((S125*pax_cap*load_thin*ROUND(K125*L125*revleg_thin,0))-(((battery/range_nm)*D125*ROUND(K125*L125*revleg_thin,0)*VLOOKUP(B125,country_opex,3,FALSE))+V125+W125+X125+Y125+Z125)))</f>
        <v/>
      </c>
      <c r="AU125" s="43">
        <f>IF(((S125*pax_cap*load_mid*ROUND(K125*L125*revleg_mid,0))-(((battery/range_nm)*D125*ROUND(K125*L125*revleg_mid,0)*VLOOKUP(B125,country_opex,3,FALSE))+V125+W125+X125+Y125+Z125))&lt;=0,"",VLOOKUP(B125,country_opex,7,FALSE)/((S125*pax_cap*load_mid*ROUND(K125*L125*revleg_mid,0))-(((battery/range_nm)*D125*ROUND(K125*L125*revleg_mid,0)*VLOOKUP(B125,country_opex,3,FALSE))+V125+W125+X125+Y125+Z125)))</f>
        <v/>
      </c>
      <c r="AV125" s="43">
        <f>IF(((S125*pax_cap*load_full*ROUND(K125*L125*revleg_full,0))-(((battery/range_nm)*D125*ROUND(K125*L125*revleg_full,0)*VLOOKUP(B125,country_opex,3,FALSE))+V125+W125+X125+Y125+Z125))&lt;=0,"",VLOOKUP(B125,country_opex,7,FALSE)/((S125*pax_cap*load_full*ROUND(K125*L125*revleg_full,0))-(((battery/range_nm)*D125*ROUND(K125*L125*revleg_full,0)*VLOOKUP(B125,country_opex,3,FALSE))+V125+W125+X125+Y125+Z125)))</f>
        <v/>
      </c>
      <c r="AW125" s="44" t="n"/>
      <c r="AX125" s="44" t="n"/>
    </row>
    <row r="126">
      <c r="A126" s="29" t="inlineStr">
        <is>
          <t>Bolt Qatar</t>
        </is>
      </c>
      <c r="B126" s="29" t="inlineStr">
        <is>
          <t>Qatar</t>
        </is>
      </c>
      <c r="C126" s="30" t="inlineStr">
        <is>
          <t>The Pearl-Qatar (Marsa Arabia) → Doha Corniche / Old Doha Port</t>
        </is>
      </c>
      <c r="D126" s="31" t="n">
        <v>4.4</v>
      </c>
      <c r="E126" s="26" t="n">
        <v>10.99</v>
      </c>
      <c r="F126" s="32" t="inlineStr">
        <is>
          <t>T3</t>
        </is>
      </c>
      <c r="G126" s="32" t="inlineStr">
        <is>
          <t>med</t>
        </is>
      </c>
      <c r="H126" s="19" t="n">
        <v>1</v>
      </c>
      <c r="I126" s="33">
        <f>60*D126/cruise_kt</f>
        <v/>
      </c>
      <c r="J126" s="33">
        <f>I126+turn_min+dwell_min</f>
        <v/>
      </c>
      <c r="K126" s="34">
        <f>MIN(10,FLOOR(60*service_hr/J126,1))</f>
        <v/>
      </c>
      <c r="L126" s="34">
        <f>ROUND(365*mech_uptime*H126,0)</f>
        <v/>
      </c>
      <c r="M126" s="35">
        <f>mech_uptime</f>
        <v/>
      </c>
      <c r="N126" s="35">
        <f>revleg_sel</f>
        <v/>
      </c>
      <c r="O126" s="34">
        <f>ROUND(K126*L126*revleg_sel,0)</f>
        <v/>
      </c>
      <c r="P126" s="36">
        <f>load_sel</f>
        <v/>
      </c>
      <c r="Q126" s="36">
        <f>pax_cap*P126</f>
        <v/>
      </c>
      <c r="R126" s="34">
        <f>Q126*O126</f>
        <v/>
      </c>
      <c r="S126" s="37">
        <f>E126*discount</f>
        <v/>
      </c>
      <c r="T126" s="38">
        <f>S126*R126</f>
        <v/>
      </c>
      <c r="U126" s="38">
        <f>(battery/range_nm)*D126*O126*VLOOKUP(B126,country_opex,3,FALSE)</f>
        <v/>
      </c>
      <c r="V126" s="38">
        <f>VLOOKUP(B126,country_opex,2,FALSE)*crew_factor</f>
        <v/>
      </c>
      <c r="W126" s="38">
        <f>VLOOKUP(B126,country_opex,5,FALSE)</f>
        <v/>
      </c>
      <c r="X126" s="38">
        <f>maint</f>
        <v/>
      </c>
      <c r="Y126" s="38">
        <f>VLOOKUP(B126,country_opex,7,FALSE)*ins_pct</f>
        <v/>
      </c>
      <c r="Z126" s="38">
        <f>charge_berth</f>
        <v/>
      </c>
      <c r="AA126" s="38">
        <f>U126+V126+W126+X126+Y126+Z126</f>
        <v/>
      </c>
      <c r="AB126" s="38">
        <f>VLOOKUP(B126,country_opex,7,FALSE)/dep_years</f>
        <v/>
      </c>
      <c r="AC126" s="38">
        <f>T126-AA126</f>
        <v/>
      </c>
      <c r="AD126" s="35">
        <f>IF(T126=0,"",AC126/T126)</f>
        <v/>
      </c>
      <c r="AE126" s="36">
        <f>IF(AC126&lt;=0,"",VLOOKUP(B126,country_opex,7,FALSE)/AC126)</f>
        <v/>
      </c>
      <c r="AF126" s="33">
        <f>((D126*O126/diesel_nmpg)*diesel_co2pg-(battery/range_nm)*D126*O126*VLOOKUP(B126,country_opex,4,FALSE))/1000</f>
        <v/>
      </c>
      <c r="AG126" s="31" t="n">
        <v>50000</v>
      </c>
      <c r="AH126" s="32" t="inlineStr">
        <is>
          <t>T5</t>
        </is>
      </c>
      <c r="AI126" s="32" t="inlineStr">
        <is>
          <t>low</t>
        </is>
      </c>
      <c r="AJ126" s="39" t="n">
        <v>0.1</v>
      </c>
      <c r="AK126" s="34">
        <f>IF(AG126="","",AG126*AJ126)</f>
        <v/>
      </c>
      <c r="AL126" s="34">
        <f>IF(OR(AG126="",R126=0),"",MIN(IF(AS126="",9.9E+99,AS126),FLOOR(AK126/R126,1)))</f>
        <v/>
      </c>
      <c r="AM126" s="38">
        <f>IF(AL126="","",AL126*T126)</f>
        <v/>
      </c>
      <c r="AN126" s="36">
        <f>IF(OR(AG126="",R126=0),"",MIN(IF(AS126="",9.9E+99,AS126),AK126/R126))</f>
        <v/>
      </c>
      <c r="AO126" s="38">
        <f>IF(AN126="","",AN126*T126)</f>
        <v/>
      </c>
      <c r="AP126" s="40" t="n"/>
      <c r="AQ126" s="41" t="n"/>
      <c r="AR126" s="41" t="n"/>
      <c r="AS126" s="42" t="n"/>
      <c r="AT126" s="43">
        <f>IF(((S126*pax_cap*load_thin*ROUND(K126*L126*revleg_thin,0))-(((battery/range_nm)*D126*ROUND(K126*L126*revleg_thin,0)*VLOOKUP(B126,country_opex,3,FALSE))+V126+W126+X126+Y126+Z126))&lt;=0,"",VLOOKUP(B126,country_opex,7,FALSE)/((S126*pax_cap*load_thin*ROUND(K126*L126*revleg_thin,0))-(((battery/range_nm)*D126*ROUND(K126*L126*revleg_thin,0)*VLOOKUP(B126,country_opex,3,FALSE))+V126+W126+X126+Y126+Z126)))</f>
        <v/>
      </c>
      <c r="AU126" s="43">
        <f>IF(((S126*pax_cap*load_mid*ROUND(K126*L126*revleg_mid,0))-(((battery/range_nm)*D126*ROUND(K126*L126*revleg_mid,0)*VLOOKUP(B126,country_opex,3,FALSE))+V126+W126+X126+Y126+Z126))&lt;=0,"",VLOOKUP(B126,country_opex,7,FALSE)/((S126*pax_cap*load_mid*ROUND(K126*L126*revleg_mid,0))-(((battery/range_nm)*D126*ROUND(K126*L126*revleg_mid,0)*VLOOKUP(B126,country_opex,3,FALSE))+V126+W126+X126+Y126+Z126)))</f>
        <v/>
      </c>
      <c r="AV126" s="43">
        <f>IF(((S126*pax_cap*load_full*ROUND(K126*L126*revleg_full,0))-(((battery/range_nm)*D126*ROUND(K126*L126*revleg_full,0)*VLOOKUP(B126,country_opex,3,FALSE))+V126+W126+X126+Y126+Z126))&lt;=0,"",VLOOKUP(B126,country_opex,7,FALSE)/((S126*pax_cap*load_full*ROUND(K126*L126*revleg_full,0))-(((battery/range_nm)*D126*ROUND(K126*L126*revleg_full,0)*VLOOKUP(B126,country_opex,3,FALSE))+V126+W126+X126+Y126+Z126)))</f>
        <v/>
      </c>
      <c r="AW126" s="44" t="inlineStr">
        <is>
          <t>Ronautica (UDC official Pearl marine operator) gate-to-gate water shuttle QAR 40/pp (USD 10.99) — premium per-seat tier on-corridor. Cheap tier: Mina Link scheduled shuttle QAR 25/pp (USD 6.87, launched Jul 2025; geography conflict between sources — timeoutdoha says Old Doha Port&lt;-&gt;Pearl, launch coverage says intra-port loop — so held to ladder, not anchor). Intra-Pearl premium: Porto Arabia&lt;-&gt;Qanat Quartier QAR 80/pp ($21.98).</t>
        </is>
      </c>
      <c r="AX126" s="44" t="inlineStr">
        <is>
          <t>On-corridor T1 anchors: Old Doha Port 7M+ visitors 2025 with 97% leasing occupancy, and 87 cruise ships / 396,000+ cruise passengers in the 2024-25 season (QNA/Old Doha Port CEO, 31-Dec-2025 — T1). Pearl Island ~52,000 residents, ~20M vehicle entries/yr (UDC). MOT Pearl Ferry Stop infrastructure complete (mot.gov.qa). Mina Link shuttle (QAR 25/pp, Brooq Tourism, daily 10:00-21:30): ridership unpublished; GEOGRAPHY FLAG — most launch coverage describes it as Containers Yard &lt;-&gt; Mina District (an INTRA-PORT scenic loop), not Old Doha Port &lt;-&gt; The Pearl, so it is a weak on-corridor proxy.</t>
        </is>
      </c>
    </row>
    <row r="127">
      <c r="A127" s="29" t="inlineStr">
        <is>
          <t>Bolt Qatar</t>
        </is>
      </c>
      <c r="B127" s="29" t="inlineStr">
        <is>
          <t>Qatar</t>
        </is>
      </c>
      <c r="C127" s="30" t="inlineStr">
        <is>
          <t>Doha → Banana Island</t>
        </is>
      </c>
      <c r="D127" s="31" t="n">
        <v>4.5</v>
      </c>
      <c r="E127" s="26" t="n"/>
      <c r="F127" s="32" t="n"/>
      <c r="G127" s="32" t="n"/>
      <c r="H127" s="19" t="n">
        <v>1</v>
      </c>
      <c r="I127" s="33">
        <f>60*D127/cruise_kt</f>
        <v/>
      </c>
      <c r="J127" s="33">
        <f>I127+turn_min+dwell_min</f>
        <v/>
      </c>
      <c r="K127" s="34">
        <f>MIN(10,FLOOR(60*service_hr/J127,1))</f>
        <v/>
      </c>
      <c r="L127" s="34">
        <f>ROUND(365*mech_uptime*H127,0)</f>
        <v/>
      </c>
      <c r="M127" s="35">
        <f>mech_uptime</f>
        <v/>
      </c>
      <c r="N127" s="35">
        <f>revleg_sel</f>
        <v/>
      </c>
      <c r="O127" s="34">
        <f>ROUND(K127*L127*revleg_sel,0)</f>
        <v/>
      </c>
      <c r="P127" s="36">
        <f>load_sel</f>
        <v/>
      </c>
      <c r="Q127" s="36">
        <f>pax_cap*P127</f>
        <v/>
      </c>
      <c r="R127" s="34">
        <f>Q127*O127</f>
        <v/>
      </c>
      <c r="S127" s="37">
        <f>E127*discount</f>
        <v/>
      </c>
      <c r="T127" s="38">
        <f>S127*R127</f>
        <v/>
      </c>
      <c r="U127" s="38">
        <f>(battery/range_nm)*D127*O127*VLOOKUP(B127,country_opex,3,FALSE)</f>
        <v/>
      </c>
      <c r="V127" s="38">
        <f>VLOOKUP(B127,country_opex,2,FALSE)*crew_factor</f>
        <v/>
      </c>
      <c r="W127" s="38">
        <f>VLOOKUP(B127,country_opex,5,FALSE)</f>
        <v/>
      </c>
      <c r="X127" s="38">
        <f>maint</f>
        <v/>
      </c>
      <c r="Y127" s="38">
        <f>VLOOKUP(B127,country_opex,7,FALSE)*ins_pct</f>
        <v/>
      </c>
      <c r="Z127" s="38">
        <f>charge_berth</f>
        <v/>
      </c>
      <c r="AA127" s="38">
        <f>U127+V127+W127+X127+Y127+Z127</f>
        <v/>
      </c>
      <c r="AB127" s="38">
        <f>VLOOKUP(B127,country_opex,7,FALSE)/dep_years</f>
        <v/>
      </c>
      <c r="AC127" s="38">
        <f>T127-AA127</f>
        <v/>
      </c>
      <c r="AD127" s="35">
        <f>IF(T127=0,"",AC127/T127)</f>
        <v/>
      </c>
      <c r="AE127" s="36">
        <f>IF(AC127&lt;=0,"",VLOOKUP(B127,country_opex,7,FALSE)/AC127)</f>
        <v/>
      </c>
      <c r="AF127" s="33">
        <f>((D127*O127/diesel_nmpg)*diesel_co2pg-(battery/range_nm)*D127*O127*VLOOKUP(B127,country_opex,4,FALSE))/1000</f>
        <v/>
      </c>
      <c r="AG127" s="31" t="n"/>
      <c r="AH127" s="32" t="n"/>
      <c r="AI127" s="32" t="n"/>
      <c r="AJ127" s="39" t="n">
        <v>0.1</v>
      </c>
      <c r="AK127" s="34">
        <f>IF(AG127="","",AG127*AJ127)</f>
        <v/>
      </c>
      <c r="AL127" s="34">
        <f>IF(OR(AG127="",R127=0),"",MIN(IF(AS127="",9.9E+99,AS127),FLOOR(AK127/R127,1)))</f>
        <v/>
      </c>
      <c r="AM127" s="38">
        <f>IF(AL127="","",AL127*T127)</f>
        <v/>
      </c>
      <c r="AN127" s="36">
        <f>IF(OR(AG127="",R127=0),"",MIN(IF(AS127="",9.9E+99,AS127),AK127/R127))</f>
        <v/>
      </c>
      <c r="AO127" s="38">
        <f>IF(AN127="","",AN127*T127)</f>
        <v/>
      </c>
      <c r="AP127" s="40" t="n"/>
      <c r="AQ127" s="41" t="n"/>
      <c r="AR127" s="41" t="n"/>
      <c r="AS127" s="42" t="n"/>
      <c r="AT127" s="43">
        <f>IF(((S127*pax_cap*load_thin*ROUND(K127*L127*revleg_thin,0))-(((battery/range_nm)*D127*ROUND(K127*L127*revleg_thin,0)*VLOOKUP(B127,country_opex,3,FALSE))+V127+W127+X127+Y127+Z127))&lt;=0,"",VLOOKUP(B127,country_opex,7,FALSE)/((S127*pax_cap*load_thin*ROUND(K127*L127*revleg_thin,0))-(((battery/range_nm)*D127*ROUND(K127*L127*revleg_thin,0)*VLOOKUP(B127,country_opex,3,FALSE))+V127+W127+X127+Y127+Z127)))</f>
        <v/>
      </c>
      <c r="AU127" s="43">
        <f>IF(((S127*pax_cap*load_mid*ROUND(K127*L127*revleg_mid,0))-(((battery/range_nm)*D127*ROUND(K127*L127*revleg_mid,0)*VLOOKUP(B127,country_opex,3,FALSE))+V127+W127+X127+Y127+Z127))&lt;=0,"",VLOOKUP(B127,country_opex,7,FALSE)/((S127*pax_cap*load_mid*ROUND(K127*L127*revleg_mid,0))-(((battery/range_nm)*D127*ROUND(K127*L127*revleg_mid,0)*VLOOKUP(B127,country_opex,3,FALSE))+V127+W127+X127+Y127+Z127)))</f>
        <v/>
      </c>
      <c r="AV127" s="43">
        <f>IF(((S127*pax_cap*load_full*ROUND(K127*L127*revleg_full,0))-(((battery/range_nm)*D127*ROUND(K127*L127*revleg_full,0)*VLOOKUP(B127,country_opex,3,FALSE))+V127+W127+X127+Y127+Z127))&lt;=0,"",VLOOKUP(B127,country_opex,7,FALSE)/((S127*pax_cap*load_full*ROUND(K127*L127*revleg_full,0))-(((battery/range_nm)*D127*ROUND(K127*L127*revleg_full,0)*VLOOKUP(B127,country_opex,3,FALSE))+V127+W127+X127+Y127+Z127)))</f>
        <v/>
      </c>
      <c r="AW127" s="44" t="n"/>
      <c r="AX127" s="44" t="n"/>
    </row>
    <row r="128">
      <c r="A128" s="29" t="inlineStr">
        <is>
          <t>Bolt Qatar</t>
        </is>
      </c>
      <c r="B128" s="29" t="inlineStr">
        <is>
          <t>Qatar</t>
        </is>
      </c>
      <c r="C128" s="30" t="inlineStr">
        <is>
          <t>Doha (Al Shyoukh Terminal) → Banana Island Resort (Anantara)</t>
        </is>
      </c>
      <c r="D128" s="31" t="n">
        <v>4.9</v>
      </c>
      <c r="E128" s="26" t="n">
        <v>27.5</v>
      </c>
      <c r="F128" s="32" t="inlineStr">
        <is>
          <t>T3</t>
        </is>
      </c>
      <c r="G128" s="32" t="inlineStr">
        <is>
          <t>med</t>
        </is>
      </c>
      <c r="H128" s="19" t="n">
        <v>1</v>
      </c>
      <c r="I128" s="33">
        <f>60*D128/cruise_kt</f>
        <v/>
      </c>
      <c r="J128" s="33">
        <f>I128+turn_min+dwell_min</f>
        <v/>
      </c>
      <c r="K128" s="34">
        <f>MIN(10,FLOOR(60*service_hr/J128,1))</f>
        <v/>
      </c>
      <c r="L128" s="34">
        <f>ROUND(365*mech_uptime*H128,0)</f>
        <v/>
      </c>
      <c r="M128" s="35">
        <f>mech_uptime</f>
        <v/>
      </c>
      <c r="N128" s="35">
        <f>revleg_sel</f>
        <v/>
      </c>
      <c r="O128" s="34">
        <f>ROUND(K128*L128*revleg_sel,0)</f>
        <v/>
      </c>
      <c r="P128" s="36">
        <f>load_sel</f>
        <v/>
      </c>
      <c r="Q128" s="36">
        <f>pax_cap*P128</f>
        <v/>
      </c>
      <c r="R128" s="34">
        <f>Q128*O128</f>
        <v/>
      </c>
      <c r="S128" s="37">
        <f>E128*discount</f>
        <v/>
      </c>
      <c r="T128" s="38">
        <f>S128*R128</f>
        <v/>
      </c>
      <c r="U128" s="38">
        <f>(battery/range_nm)*D128*O128*VLOOKUP(B128,country_opex,3,FALSE)</f>
        <v/>
      </c>
      <c r="V128" s="38">
        <f>VLOOKUP(B128,country_opex,2,FALSE)*crew_factor</f>
        <v/>
      </c>
      <c r="W128" s="38">
        <f>VLOOKUP(B128,country_opex,5,FALSE)</f>
        <v/>
      </c>
      <c r="X128" s="38">
        <f>maint</f>
        <v/>
      </c>
      <c r="Y128" s="38">
        <f>VLOOKUP(B128,country_opex,7,FALSE)*ins_pct</f>
        <v/>
      </c>
      <c r="Z128" s="38">
        <f>charge_berth</f>
        <v/>
      </c>
      <c r="AA128" s="38">
        <f>U128+V128+W128+X128+Y128+Z128</f>
        <v/>
      </c>
      <c r="AB128" s="38">
        <f>VLOOKUP(B128,country_opex,7,FALSE)/dep_years</f>
        <v/>
      </c>
      <c r="AC128" s="38">
        <f>T128-AA128</f>
        <v/>
      </c>
      <c r="AD128" s="35">
        <f>IF(T128=0,"",AC128/T128)</f>
        <v/>
      </c>
      <c r="AE128" s="36">
        <f>IF(AC128&lt;=0,"",VLOOKUP(B128,country_opex,7,FALSE)/AC128)</f>
        <v/>
      </c>
      <c r="AF128" s="33">
        <f>((D128*O128/diesel_nmpg)*diesel_co2pg-(battery/range_nm)*D128*O128*VLOOKUP(B128,country_opex,4,FALSE))/1000</f>
        <v/>
      </c>
      <c r="AG128" s="31" t="n">
        <v>85000</v>
      </c>
      <c r="AH128" s="32" t="inlineStr">
        <is>
          <t>T4</t>
        </is>
      </c>
      <c r="AI128" s="32" t="inlineStr">
        <is>
          <t>med-low</t>
        </is>
      </c>
      <c r="AJ128" s="39" t="n">
        <v>0.1</v>
      </c>
      <c r="AK128" s="34">
        <f>IF(AG128="","",AG128*AJ128)</f>
        <v/>
      </c>
      <c r="AL128" s="34">
        <f>IF(OR(AG128="",R128=0),"",MIN(IF(AS128="",9.9E+99,AS128),FLOOR(AK128/R128,1)))</f>
        <v/>
      </c>
      <c r="AM128" s="38">
        <f>IF(AL128="","",AL128*T128)</f>
        <v/>
      </c>
      <c r="AN128" s="36">
        <f>IF(OR(AG128="",R128=0),"",MIN(IF(AS128="",9.9E+99,AS128),AK128/R128))</f>
        <v/>
      </c>
      <c r="AO128" s="38">
        <f>IF(AN128="","",AN128*T128)</f>
        <v/>
      </c>
      <c r="AP128" s="40" t="n"/>
      <c r="AQ128" s="41" t="n"/>
      <c r="AR128" s="41" t="n"/>
      <c r="AS128" s="42" t="n"/>
      <c r="AT128" s="43">
        <f>IF(((S128*pax_cap*load_thin*ROUND(K128*L128*revleg_thin,0))-(((battery/range_nm)*D128*ROUND(K128*L128*revleg_thin,0)*VLOOKUP(B128,country_opex,3,FALSE))+V128+W128+X128+Y128+Z128))&lt;=0,"",VLOOKUP(B128,country_opex,7,FALSE)/((S128*pax_cap*load_thin*ROUND(K128*L128*revleg_thin,0))-(((battery/range_nm)*D128*ROUND(K128*L128*revleg_thin,0)*VLOOKUP(B128,country_opex,3,FALSE))+V128+W128+X128+Y128+Z128)))</f>
        <v/>
      </c>
      <c r="AU128" s="43">
        <f>IF(((S128*pax_cap*load_mid*ROUND(K128*L128*revleg_mid,0))-(((battery/range_nm)*D128*ROUND(K128*L128*revleg_mid,0)*VLOOKUP(B128,country_opex,3,FALSE))+V128+W128+X128+Y128+Z128))&lt;=0,"",VLOOKUP(B128,country_opex,7,FALSE)/((S128*pax_cap*load_mid*ROUND(K128*L128*revleg_mid,0))-(((battery/range_nm)*D128*ROUND(K128*L128*revleg_mid,0)*VLOOKUP(B128,country_opex,3,FALSE))+V128+W128+X128+Y128+Z128)))</f>
        <v/>
      </c>
      <c r="AV128" s="43">
        <f>IF(((S128*pax_cap*load_full*ROUND(K128*L128*revleg_full,0))-(((battery/range_nm)*D128*ROUND(K128*L128*revleg_full,0)*VLOOKUP(B128,country_opex,3,FALSE))+V128+W128+X128+Y128+Z128))&lt;=0,"",VLOOKUP(B128,country_opex,7,FALSE)/((S128*pax_cap*load_full*ROUND(K128*L128*revleg_full,0))-(((battery/range_nm)*D128*ROUND(K128*L128*revleg_full,0)*VLOOKUP(B128,country_opex,3,FALSE))+V128+W128+X128+Y128+Z128)))</f>
        <v/>
      </c>
      <c r="AW128" s="44" t="inlineStr">
        <is>
          <t>Anantara official: day pass QAR 395/adult ($108.51) incl RT luxury catamaran transfer + QAR 345 credits. De-bundled transfer component: child rate QAR 200 RT no credits =&gt; ~QAR 100/way ~ USD 27.5/pp one-way pure-transfer value (honest band $14-55 RT).</t>
        </is>
      </c>
      <c r="AX128" s="44" t="inlineStr">
        <is>
          <t>Anantara Banana Island official: 141 keys (anantara.com/visitqatar, T1); access is BOAT-ONLY via ~45-51-pax luxury catamaran from Al Shyoukh Terminal, 25-30 min, scheduled ~hourly 09:00-21:00 (booking.com listing; adventureparkdoha.com '45-passenger catamaran operates regularly'; observed 51-pax config). Qatar national hotel occupancy 71% 2025 (Qatar Tourism/ValuStrat, T2). Day-pass product QAR 395/adult incl. RT transfer (anantara.com, T1) adds day-tripper volume.</t>
        </is>
      </c>
    </row>
    <row r="129">
      <c r="A129" s="29" t="inlineStr">
        <is>
          <t>Bolt Qatar</t>
        </is>
      </c>
      <c r="B129" s="29" t="inlineStr">
        <is>
          <t>Qatar</t>
        </is>
      </c>
      <c r="C129" s="30" t="inlineStr">
        <is>
          <t>West Bay / Corniche (Doha) → Lusail Marina &amp; Place Vendôme</t>
        </is>
      </c>
      <c r="D129" s="31" t="n">
        <v>6.3</v>
      </c>
      <c r="E129" s="26" t="n">
        <v>16</v>
      </c>
      <c r="F129" s="32" t="inlineStr">
        <is>
          <t>T5</t>
        </is>
      </c>
      <c r="G129" s="32" t="inlineStr">
        <is>
          <t>low</t>
        </is>
      </c>
      <c r="H129" s="19" t="n">
        <v>1</v>
      </c>
      <c r="I129" s="33">
        <f>60*D129/cruise_kt</f>
        <v/>
      </c>
      <c r="J129" s="33">
        <f>I129+turn_min+dwell_min</f>
        <v/>
      </c>
      <c r="K129" s="34">
        <f>MIN(10,FLOOR(60*service_hr/J129,1))</f>
        <v/>
      </c>
      <c r="L129" s="34">
        <f>ROUND(365*mech_uptime*H129,0)</f>
        <v/>
      </c>
      <c r="M129" s="35">
        <f>mech_uptime</f>
        <v/>
      </c>
      <c r="N129" s="35">
        <f>revleg_sel</f>
        <v/>
      </c>
      <c r="O129" s="34">
        <f>ROUND(K129*L129*revleg_sel,0)</f>
        <v/>
      </c>
      <c r="P129" s="36">
        <f>load_sel</f>
        <v/>
      </c>
      <c r="Q129" s="36">
        <f>pax_cap*P129</f>
        <v/>
      </c>
      <c r="R129" s="34">
        <f>Q129*O129</f>
        <v/>
      </c>
      <c r="S129" s="37">
        <f>E129*discount</f>
        <v/>
      </c>
      <c r="T129" s="38">
        <f>S129*R129</f>
        <v/>
      </c>
      <c r="U129" s="38">
        <f>(battery/range_nm)*D129*O129*VLOOKUP(B129,country_opex,3,FALSE)</f>
        <v/>
      </c>
      <c r="V129" s="38">
        <f>VLOOKUP(B129,country_opex,2,FALSE)*crew_factor</f>
        <v/>
      </c>
      <c r="W129" s="38">
        <f>VLOOKUP(B129,country_opex,5,FALSE)</f>
        <v/>
      </c>
      <c r="X129" s="38">
        <f>maint</f>
        <v/>
      </c>
      <c r="Y129" s="38">
        <f>VLOOKUP(B129,country_opex,7,FALSE)*ins_pct</f>
        <v/>
      </c>
      <c r="Z129" s="38">
        <f>charge_berth</f>
        <v/>
      </c>
      <c r="AA129" s="38">
        <f>U129+V129+W129+X129+Y129+Z129</f>
        <v/>
      </c>
      <c r="AB129" s="38">
        <f>VLOOKUP(B129,country_opex,7,FALSE)/dep_years</f>
        <v/>
      </c>
      <c r="AC129" s="38">
        <f>T129-AA129</f>
        <v/>
      </c>
      <c r="AD129" s="35">
        <f>IF(T129=0,"",AC129/T129)</f>
        <v/>
      </c>
      <c r="AE129" s="36">
        <f>IF(AC129&lt;=0,"",VLOOKUP(B129,country_opex,7,FALSE)/AC129)</f>
        <v/>
      </c>
      <c r="AF129" s="33">
        <f>((D129*O129/diesel_nmpg)*diesel_co2pg-(battery/range_nm)*D129*O129*VLOOKUP(B129,country_opex,4,FALSE))/1000</f>
        <v/>
      </c>
      <c r="AG129" s="31" t="n">
        <v>75000</v>
      </c>
      <c r="AH129" s="32" t="inlineStr">
        <is>
          <t>T5</t>
        </is>
      </c>
      <c r="AI129" s="32" t="inlineStr">
        <is>
          <t>low</t>
        </is>
      </c>
      <c r="AJ129" s="39" t="n">
        <v>0.1</v>
      </c>
      <c r="AK129" s="34">
        <f>IF(AG129="","",AG129*AJ129)</f>
        <v/>
      </c>
      <c r="AL129" s="34">
        <f>IF(OR(AG129="",R129=0),"",MIN(IF(AS129="",9.9E+99,AS129),FLOOR(AK129/R129,1)))</f>
        <v/>
      </c>
      <c r="AM129" s="38">
        <f>IF(AL129="","",AL129*T129)</f>
        <v/>
      </c>
      <c r="AN129" s="36">
        <f>IF(OR(AG129="",R129=0),"",MIN(IF(AS129="",9.9E+99,AS129),AK129/R129))</f>
        <v/>
      </c>
      <c r="AO129" s="38">
        <f>IF(AN129="","",AN129*T129)</f>
        <v/>
      </c>
      <c r="AP129" s="40" t="n"/>
      <c r="AQ129" s="41" t="n"/>
      <c r="AR129" s="41" t="n"/>
      <c r="AS129" s="42" t="n"/>
      <c r="AT129" s="43">
        <f>IF(((S129*pax_cap*load_thin*ROUND(K129*L129*revleg_thin,0))-(((battery/range_nm)*D129*ROUND(K129*L129*revleg_thin,0)*VLOOKUP(B129,country_opex,3,FALSE))+V129+W129+X129+Y129+Z129))&lt;=0,"",VLOOKUP(B129,country_opex,7,FALSE)/((S129*pax_cap*load_thin*ROUND(K129*L129*revleg_thin,0))-(((battery/range_nm)*D129*ROUND(K129*L129*revleg_thin,0)*VLOOKUP(B129,country_opex,3,FALSE))+V129+W129+X129+Y129+Z129)))</f>
        <v/>
      </c>
      <c r="AU129" s="43">
        <f>IF(((S129*pax_cap*load_mid*ROUND(K129*L129*revleg_mid,0))-(((battery/range_nm)*D129*ROUND(K129*L129*revleg_mid,0)*VLOOKUP(B129,country_opex,3,FALSE))+V129+W129+X129+Y129+Z129))&lt;=0,"",VLOOKUP(B129,country_opex,7,FALSE)/((S129*pax_cap*load_mid*ROUND(K129*L129*revleg_mid,0))-(((battery/range_nm)*D129*ROUND(K129*L129*revleg_mid,0)*VLOOKUP(B129,country_opex,3,FALSE))+V129+W129+X129+Y129+Z129)))</f>
        <v/>
      </c>
      <c r="AV129" s="43">
        <f>IF(((S129*pax_cap*load_full*ROUND(K129*L129*revleg_full,0))-(((battery/range_nm)*D129*ROUND(K129*L129*revleg_full,0)*VLOOKUP(B129,country_opex,3,FALSE))+V129+W129+X129+Y129+Z129))&lt;=0,"",VLOOKUP(B129,country_opex,7,FALSE)/((S129*pax_cap*load_full*ROUND(K129*L129*revleg_full,0))-(((battery/range_nm)*D129*ROUND(K129*L129*revleg_full,0)*VLOOKUP(B129,country_opex,3,FALSE))+V129+W129+X129+Y129+Z129)))</f>
        <v/>
      </c>
      <c r="AW129" s="44" t="inlineStr">
        <is>
          <t>No scheduled service yet: MOT Water Taxi Phase-1 INFRASTRUCTURE complete 7 Nov 2024 (Lusail Ferry Terminal + Pearl &amp; Corniche stops, EV-charger-fitted) but operator unselected, no fare published (mot.gov.qa). Cascaded from on-network premium per-seat anchor Ronautica Pearl gate-to-gate QAR 40/pp (USD 10.99) scaled per-nm 4.4-&gt;6.3nm =&gt; ~$15.7. Leisure upper bound: Blue Pearl shared speedboat West Bay QAR 160/pp ($43.95).</t>
        </is>
      </c>
      <c r="AX129" s="44" t="inlineStr">
        <is>
          <t>No marine service operates on this corridor today (greenfield; MOT Water Taxi Phase-1 INFRASTRUCTURE complete Nov-2024 — Lusail Ferry Terminal + Corniche Ferry Stop sit EXACTLY on this corridor's endpoints, with electric-ferry chargers — but operator not yet selected; network capacity unpublished, mot.gov.qa). Destination pools (all LAND-arriving, R3-LAND caveat): Al Maha Island Lusail target 1.5M visitors/yr (Gulf Times/developer); Place Vendome mall claims 16.5M annual footfall (UDC leasing brochure 2025, marketing-grade); Lusail Boulevard 250k visitors on NYE 2025 alone (wgoqatar); Doha Corniche promenade has NO published count. Qatar 5.08M intl visitors 2024 / 5.1M 2025 (Qatar Tourism, T1).</t>
        </is>
      </c>
    </row>
    <row r="130">
      <c r="A130" s="29" t="inlineStr">
        <is>
          <t>Bolt Qatar</t>
        </is>
      </c>
      <c r="B130" s="29" t="inlineStr">
        <is>
          <t>Qatar</t>
        </is>
      </c>
      <c r="C130" s="30" t="inlineStr">
        <is>
          <t>Doha → Lusail Marina</t>
        </is>
      </c>
      <c r="D130" s="31" t="n">
        <v>6.5</v>
      </c>
      <c r="E130" s="26" t="n"/>
      <c r="F130" s="32" t="n"/>
      <c r="G130" s="32" t="n"/>
      <c r="H130" s="19" t="n">
        <v>1</v>
      </c>
      <c r="I130" s="33">
        <f>60*D130/cruise_kt</f>
        <v/>
      </c>
      <c r="J130" s="33">
        <f>I130+turn_min+dwell_min</f>
        <v/>
      </c>
      <c r="K130" s="34">
        <f>MIN(10,FLOOR(60*service_hr/J130,1))</f>
        <v/>
      </c>
      <c r="L130" s="34">
        <f>ROUND(365*mech_uptime*H130,0)</f>
        <v/>
      </c>
      <c r="M130" s="35">
        <f>mech_uptime</f>
        <v/>
      </c>
      <c r="N130" s="35">
        <f>revleg_sel</f>
        <v/>
      </c>
      <c r="O130" s="34">
        <f>ROUND(K130*L130*revleg_sel,0)</f>
        <v/>
      </c>
      <c r="P130" s="36">
        <f>load_sel</f>
        <v/>
      </c>
      <c r="Q130" s="36">
        <f>pax_cap*P130</f>
        <v/>
      </c>
      <c r="R130" s="34">
        <f>Q130*O130</f>
        <v/>
      </c>
      <c r="S130" s="37">
        <f>E130*discount</f>
        <v/>
      </c>
      <c r="T130" s="38">
        <f>S130*R130</f>
        <v/>
      </c>
      <c r="U130" s="38">
        <f>(battery/range_nm)*D130*O130*VLOOKUP(B130,country_opex,3,FALSE)</f>
        <v/>
      </c>
      <c r="V130" s="38">
        <f>VLOOKUP(B130,country_opex,2,FALSE)*crew_factor</f>
        <v/>
      </c>
      <c r="W130" s="38">
        <f>VLOOKUP(B130,country_opex,5,FALSE)</f>
        <v/>
      </c>
      <c r="X130" s="38">
        <f>maint</f>
        <v/>
      </c>
      <c r="Y130" s="38">
        <f>VLOOKUP(B130,country_opex,7,FALSE)*ins_pct</f>
        <v/>
      </c>
      <c r="Z130" s="38">
        <f>charge_berth</f>
        <v/>
      </c>
      <c r="AA130" s="38">
        <f>U130+V130+W130+X130+Y130+Z130</f>
        <v/>
      </c>
      <c r="AB130" s="38">
        <f>VLOOKUP(B130,country_opex,7,FALSE)/dep_years</f>
        <v/>
      </c>
      <c r="AC130" s="38">
        <f>T130-AA130</f>
        <v/>
      </c>
      <c r="AD130" s="35">
        <f>IF(T130=0,"",AC130/T130)</f>
        <v/>
      </c>
      <c r="AE130" s="36">
        <f>IF(AC130&lt;=0,"",VLOOKUP(B130,country_opex,7,FALSE)/AC130)</f>
        <v/>
      </c>
      <c r="AF130" s="33">
        <f>((D130*O130/diesel_nmpg)*diesel_co2pg-(battery/range_nm)*D130*O130*VLOOKUP(B130,country_opex,4,FALSE))/1000</f>
        <v/>
      </c>
      <c r="AG130" s="31" t="n"/>
      <c r="AH130" s="32" t="n"/>
      <c r="AI130" s="32" t="n"/>
      <c r="AJ130" s="39" t="n">
        <v>0.1</v>
      </c>
      <c r="AK130" s="34">
        <f>IF(AG130="","",AG130*AJ130)</f>
        <v/>
      </c>
      <c r="AL130" s="34">
        <f>IF(OR(AG130="",R130=0),"",MIN(IF(AS130="",9.9E+99,AS130),FLOOR(AK130/R130,1)))</f>
        <v/>
      </c>
      <c r="AM130" s="38">
        <f>IF(AL130="","",AL130*T130)</f>
        <v/>
      </c>
      <c r="AN130" s="36">
        <f>IF(OR(AG130="",R130=0),"",MIN(IF(AS130="",9.9E+99,AS130),AK130/R130))</f>
        <v/>
      </c>
      <c r="AO130" s="38">
        <f>IF(AN130="","",AN130*T130)</f>
        <v/>
      </c>
      <c r="AP130" s="40" t="n"/>
      <c r="AQ130" s="41" t="n"/>
      <c r="AR130" s="41" t="n"/>
      <c r="AS130" s="42" t="n"/>
      <c r="AT130" s="43">
        <f>IF(((S130*pax_cap*load_thin*ROUND(K130*L130*revleg_thin,0))-(((battery/range_nm)*D130*ROUND(K130*L130*revleg_thin,0)*VLOOKUP(B130,country_opex,3,FALSE))+V130+W130+X130+Y130+Z130))&lt;=0,"",VLOOKUP(B130,country_opex,7,FALSE)/((S130*pax_cap*load_thin*ROUND(K130*L130*revleg_thin,0))-(((battery/range_nm)*D130*ROUND(K130*L130*revleg_thin,0)*VLOOKUP(B130,country_opex,3,FALSE))+V130+W130+X130+Y130+Z130)))</f>
        <v/>
      </c>
      <c r="AU130" s="43">
        <f>IF(((S130*pax_cap*load_mid*ROUND(K130*L130*revleg_mid,0))-(((battery/range_nm)*D130*ROUND(K130*L130*revleg_mid,0)*VLOOKUP(B130,country_opex,3,FALSE))+V130+W130+X130+Y130+Z130))&lt;=0,"",VLOOKUP(B130,country_opex,7,FALSE)/((S130*pax_cap*load_mid*ROUND(K130*L130*revleg_mid,0))-(((battery/range_nm)*D130*ROUND(K130*L130*revleg_mid,0)*VLOOKUP(B130,country_opex,3,FALSE))+V130+W130+X130+Y130+Z130)))</f>
        <v/>
      </c>
      <c r="AV130" s="43">
        <f>IF(((S130*pax_cap*load_full*ROUND(K130*L130*revleg_full,0))-(((battery/range_nm)*D130*ROUND(K130*L130*revleg_full,0)*VLOOKUP(B130,country_opex,3,FALSE))+V130+W130+X130+Y130+Z130))&lt;=0,"",VLOOKUP(B130,country_opex,7,FALSE)/((S130*pax_cap*load_full*ROUND(K130*L130*revleg_full,0))-(((battery/range_nm)*D130*ROUND(K130*L130*revleg_full,0)*VLOOKUP(B130,country_opex,3,FALSE))+V130+W130+X130+Y130+Z130)))</f>
        <v/>
      </c>
      <c r="AW130" s="44" t="n"/>
      <c r="AX130" s="44" t="n"/>
    </row>
    <row r="131">
      <c r="A131" s="29" t="inlineStr">
        <is>
          <t>Bolt Qatar</t>
        </is>
      </c>
      <c r="B131" s="29" t="inlineStr">
        <is>
          <t>Qatar</t>
        </is>
      </c>
      <c r="C131" s="30" t="inlineStr">
        <is>
          <t>Al Wakrah → Banana Island</t>
        </is>
      </c>
      <c r="D131" s="31" t="n">
        <v>9.5</v>
      </c>
      <c r="E131" s="26" t="n"/>
      <c r="F131" s="32" t="n"/>
      <c r="G131" s="32" t="n"/>
      <c r="H131" s="19" t="n">
        <v>1</v>
      </c>
      <c r="I131" s="33">
        <f>60*D131/cruise_kt</f>
        <v/>
      </c>
      <c r="J131" s="33">
        <f>I131+turn_min+dwell_min</f>
        <v/>
      </c>
      <c r="K131" s="34">
        <f>MIN(10,FLOOR(60*service_hr/J131,1))</f>
        <v/>
      </c>
      <c r="L131" s="34">
        <f>ROUND(365*mech_uptime*H131,0)</f>
        <v/>
      </c>
      <c r="M131" s="35">
        <f>mech_uptime</f>
        <v/>
      </c>
      <c r="N131" s="35">
        <f>revleg_sel</f>
        <v/>
      </c>
      <c r="O131" s="34">
        <f>ROUND(K131*L131*revleg_sel,0)</f>
        <v/>
      </c>
      <c r="P131" s="36">
        <f>load_sel</f>
        <v/>
      </c>
      <c r="Q131" s="36">
        <f>pax_cap*P131</f>
        <v/>
      </c>
      <c r="R131" s="34">
        <f>Q131*O131</f>
        <v/>
      </c>
      <c r="S131" s="37">
        <f>E131*discount</f>
        <v/>
      </c>
      <c r="T131" s="38">
        <f>S131*R131</f>
        <v/>
      </c>
      <c r="U131" s="38">
        <f>(battery/range_nm)*D131*O131*VLOOKUP(B131,country_opex,3,FALSE)</f>
        <v/>
      </c>
      <c r="V131" s="38">
        <f>VLOOKUP(B131,country_opex,2,FALSE)*crew_factor</f>
        <v/>
      </c>
      <c r="W131" s="38">
        <f>VLOOKUP(B131,country_opex,5,FALSE)</f>
        <v/>
      </c>
      <c r="X131" s="38">
        <f>maint</f>
        <v/>
      </c>
      <c r="Y131" s="38">
        <f>VLOOKUP(B131,country_opex,7,FALSE)*ins_pct</f>
        <v/>
      </c>
      <c r="Z131" s="38">
        <f>charge_berth</f>
        <v/>
      </c>
      <c r="AA131" s="38">
        <f>U131+V131+W131+X131+Y131+Z131</f>
        <v/>
      </c>
      <c r="AB131" s="38">
        <f>VLOOKUP(B131,country_opex,7,FALSE)/dep_years</f>
        <v/>
      </c>
      <c r="AC131" s="38">
        <f>T131-AA131</f>
        <v/>
      </c>
      <c r="AD131" s="35">
        <f>IF(T131=0,"",AC131/T131)</f>
        <v/>
      </c>
      <c r="AE131" s="36">
        <f>IF(AC131&lt;=0,"",VLOOKUP(B131,country_opex,7,FALSE)/AC131)</f>
        <v/>
      </c>
      <c r="AF131" s="33">
        <f>((D131*O131/diesel_nmpg)*diesel_co2pg-(battery/range_nm)*D131*O131*VLOOKUP(B131,country_opex,4,FALSE))/1000</f>
        <v/>
      </c>
      <c r="AG131" s="31" t="n"/>
      <c r="AH131" s="32" t="n"/>
      <c r="AI131" s="32" t="n"/>
      <c r="AJ131" s="39" t="n">
        <v>0.1</v>
      </c>
      <c r="AK131" s="34">
        <f>IF(AG131="","",AG131*AJ131)</f>
        <v/>
      </c>
      <c r="AL131" s="34">
        <f>IF(OR(AG131="",R131=0),"",MIN(IF(AS131="",9.9E+99,AS131),FLOOR(AK131/R131,1)))</f>
        <v/>
      </c>
      <c r="AM131" s="38">
        <f>IF(AL131="","",AL131*T131)</f>
        <v/>
      </c>
      <c r="AN131" s="36">
        <f>IF(OR(AG131="",R131=0),"",MIN(IF(AS131="",9.9E+99,AS131),AK131/R131))</f>
        <v/>
      </c>
      <c r="AO131" s="38">
        <f>IF(AN131="","",AN131*T131)</f>
        <v/>
      </c>
      <c r="AP131" s="40" t="n"/>
      <c r="AQ131" s="41" t="n"/>
      <c r="AR131" s="41" t="n"/>
      <c r="AS131" s="42" t="n"/>
      <c r="AT131" s="43">
        <f>IF(((S131*pax_cap*load_thin*ROUND(K131*L131*revleg_thin,0))-(((battery/range_nm)*D131*ROUND(K131*L131*revleg_thin,0)*VLOOKUP(B131,country_opex,3,FALSE))+V131+W131+X131+Y131+Z131))&lt;=0,"",VLOOKUP(B131,country_opex,7,FALSE)/((S131*pax_cap*load_thin*ROUND(K131*L131*revleg_thin,0))-(((battery/range_nm)*D131*ROUND(K131*L131*revleg_thin,0)*VLOOKUP(B131,country_opex,3,FALSE))+V131+W131+X131+Y131+Z131)))</f>
        <v/>
      </c>
      <c r="AU131" s="43">
        <f>IF(((S131*pax_cap*load_mid*ROUND(K131*L131*revleg_mid,0))-(((battery/range_nm)*D131*ROUND(K131*L131*revleg_mid,0)*VLOOKUP(B131,country_opex,3,FALSE))+V131+W131+X131+Y131+Z131))&lt;=0,"",VLOOKUP(B131,country_opex,7,FALSE)/((S131*pax_cap*load_mid*ROUND(K131*L131*revleg_mid,0))-(((battery/range_nm)*D131*ROUND(K131*L131*revleg_mid,0)*VLOOKUP(B131,country_opex,3,FALSE))+V131+W131+X131+Y131+Z131)))</f>
        <v/>
      </c>
      <c r="AV131" s="43">
        <f>IF(((S131*pax_cap*load_full*ROUND(K131*L131*revleg_full,0))-(((battery/range_nm)*D131*ROUND(K131*L131*revleg_full,0)*VLOOKUP(B131,country_opex,3,FALSE))+V131+W131+X131+Y131+Z131))&lt;=0,"",VLOOKUP(B131,country_opex,7,FALSE)/((S131*pax_cap*load_full*ROUND(K131*L131*revleg_full,0))-(((battery/range_nm)*D131*ROUND(K131*L131*revleg_full,0)*VLOOKUP(B131,country_opex,3,FALSE))+V131+W131+X131+Y131+Z131)))</f>
        <v/>
      </c>
      <c r="AW131" s="44" t="n"/>
      <c r="AX131" s="44" t="n"/>
    </row>
    <row r="132">
      <c r="A132" s="29" t="inlineStr">
        <is>
          <t>Bolt Qatar</t>
        </is>
      </c>
      <c r="B132" s="29" t="inlineStr">
        <is>
          <t>Qatar</t>
        </is>
      </c>
      <c r="C132" s="30" t="inlineStr">
        <is>
          <t>Doha → Al Wakrah Marina</t>
        </is>
      </c>
      <c r="D132" s="31" t="n">
        <v>11</v>
      </c>
      <c r="E132" s="26" t="n"/>
      <c r="F132" s="32" t="n"/>
      <c r="G132" s="32" t="n"/>
      <c r="H132" s="19" t="n">
        <v>1</v>
      </c>
      <c r="I132" s="33">
        <f>60*D132/cruise_kt</f>
        <v/>
      </c>
      <c r="J132" s="33">
        <f>I132+turn_min+dwell_min</f>
        <v/>
      </c>
      <c r="K132" s="34">
        <f>MIN(10,FLOOR(60*service_hr/J132,1))</f>
        <v/>
      </c>
      <c r="L132" s="34">
        <f>ROUND(365*mech_uptime*H132,0)</f>
        <v/>
      </c>
      <c r="M132" s="35">
        <f>mech_uptime</f>
        <v/>
      </c>
      <c r="N132" s="35">
        <f>revleg_sel</f>
        <v/>
      </c>
      <c r="O132" s="34">
        <f>ROUND(K132*L132*revleg_sel,0)</f>
        <v/>
      </c>
      <c r="P132" s="36">
        <f>load_sel</f>
        <v/>
      </c>
      <c r="Q132" s="36">
        <f>pax_cap*P132</f>
        <v/>
      </c>
      <c r="R132" s="34">
        <f>Q132*O132</f>
        <v/>
      </c>
      <c r="S132" s="37">
        <f>E132*discount</f>
        <v/>
      </c>
      <c r="T132" s="38">
        <f>S132*R132</f>
        <v/>
      </c>
      <c r="U132" s="38">
        <f>(battery/range_nm)*D132*O132*VLOOKUP(B132,country_opex,3,FALSE)</f>
        <v/>
      </c>
      <c r="V132" s="38">
        <f>VLOOKUP(B132,country_opex,2,FALSE)*crew_factor</f>
        <v/>
      </c>
      <c r="W132" s="38">
        <f>VLOOKUP(B132,country_opex,5,FALSE)</f>
        <v/>
      </c>
      <c r="X132" s="38">
        <f>maint</f>
        <v/>
      </c>
      <c r="Y132" s="38">
        <f>VLOOKUP(B132,country_opex,7,FALSE)*ins_pct</f>
        <v/>
      </c>
      <c r="Z132" s="38">
        <f>charge_berth</f>
        <v/>
      </c>
      <c r="AA132" s="38">
        <f>U132+V132+W132+X132+Y132+Z132</f>
        <v/>
      </c>
      <c r="AB132" s="38">
        <f>VLOOKUP(B132,country_opex,7,FALSE)/dep_years</f>
        <v/>
      </c>
      <c r="AC132" s="38">
        <f>T132-AA132</f>
        <v/>
      </c>
      <c r="AD132" s="35">
        <f>IF(T132=0,"",AC132/T132)</f>
        <v/>
      </c>
      <c r="AE132" s="36">
        <f>IF(AC132&lt;=0,"",VLOOKUP(B132,country_opex,7,FALSE)/AC132)</f>
        <v/>
      </c>
      <c r="AF132" s="33">
        <f>((D132*O132/diesel_nmpg)*diesel_co2pg-(battery/range_nm)*D132*O132*VLOOKUP(B132,country_opex,4,FALSE))/1000</f>
        <v/>
      </c>
      <c r="AG132" s="31" t="n"/>
      <c r="AH132" s="32" t="n"/>
      <c r="AI132" s="32" t="n"/>
      <c r="AJ132" s="39" t="n">
        <v>0.1</v>
      </c>
      <c r="AK132" s="34">
        <f>IF(AG132="","",AG132*AJ132)</f>
        <v/>
      </c>
      <c r="AL132" s="34">
        <f>IF(OR(AG132="",R132=0),"",MIN(IF(AS132="",9.9E+99,AS132),FLOOR(AK132/R132,1)))</f>
        <v/>
      </c>
      <c r="AM132" s="38">
        <f>IF(AL132="","",AL132*T132)</f>
        <v/>
      </c>
      <c r="AN132" s="36">
        <f>IF(OR(AG132="",R132=0),"",MIN(IF(AS132="",9.9E+99,AS132),AK132/R132))</f>
        <v/>
      </c>
      <c r="AO132" s="38">
        <f>IF(AN132="","",AN132*T132)</f>
        <v/>
      </c>
      <c r="AP132" s="40" t="n"/>
      <c r="AQ132" s="41" t="n"/>
      <c r="AR132" s="41" t="n"/>
      <c r="AS132" s="42" t="n"/>
      <c r="AT132" s="43">
        <f>IF(((S132*pax_cap*load_thin*ROUND(K132*L132*revleg_thin,0))-(((battery/range_nm)*D132*ROUND(K132*L132*revleg_thin,0)*VLOOKUP(B132,country_opex,3,FALSE))+V132+W132+X132+Y132+Z132))&lt;=0,"",VLOOKUP(B132,country_opex,7,FALSE)/((S132*pax_cap*load_thin*ROUND(K132*L132*revleg_thin,0))-(((battery/range_nm)*D132*ROUND(K132*L132*revleg_thin,0)*VLOOKUP(B132,country_opex,3,FALSE))+V132+W132+X132+Y132+Z132)))</f>
        <v/>
      </c>
      <c r="AU132" s="43">
        <f>IF(((S132*pax_cap*load_mid*ROUND(K132*L132*revleg_mid,0))-(((battery/range_nm)*D132*ROUND(K132*L132*revleg_mid,0)*VLOOKUP(B132,country_opex,3,FALSE))+V132+W132+X132+Y132+Z132))&lt;=0,"",VLOOKUP(B132,country_opex,7,FALSE)/((S132*pax_cap*load_mid*ROUND(K132*L132*revleg_mid,0))-(((battery/range_nm)*D132*ROUND(K132*L132*revleg_mid,0)*VLOOKUP(B132,country_opex,3,FALSE))+V132+W132+X132+Y132+Z132)))</f>
        <v/>
      </c>
      <c r="AV132" s="43">
        <f>IF(((S132*pax_cap*load_full*ROUND(K132*L132*revleg_full,0))-(((battery/range_nm)*D132*ROUND(K132*L132*revleg_full,0)*VLOOKUP(B132,country_opex,3,FALSE))+V132+W132+X132+Y132+Z132))&lt;=0,"",VLOOKUP(B132,country_opex,7,FALSE)/((S132*pax_cap*load_full*ROUND(K132*L132*revleg_full,0))-(((battery/range_nm)*D132*ROUND(K132*L132*revleg_full,0)*VLOOKUP(B132,country_opex,3,FALSE))+V132+W132+X132+Y132+Z132)))</f>
        <v/>
      </c>
      <c r="AW132" s="44" t="n"/>
      <c r="AX132" s="44" t="n"/>
    </row>
    <row r="133">
      <c r="A133" s="29" t="inlineStr">
        <is>
          <t>Bolt Romania</t>
        </is>
      </c>
      <c r="B133" s="29" t="inlineStr">
        <is>
          <t>Romania</t>
        </is>
      </c>
      <c r="C133" s="30" t="inlineStr">
        <is>
          <t>Constanța → Mamaia</t>
        </is>
      </c>
      <c r="D133" s="31" t="n">
        <v>5</v>
      </c>
      <c r="E133" s="26" t="n">
        <v>13</v>
      </c>
      <c r="F133" s="32" t="inlineStr">
        <is>
          <t>T2</t>
        </is>
      </c>
      <c r="G133" s="32" t="inlineStr">
        <is>
          <t>med</t>
        </is>
      </c>
      <c r="H133" s="19" t="n">
        <v>1</v>
      </c>
      <c r="I133" s="33">
        <f>60*D133/cruise_kt</f>
        <v/>
      </c>
      <c r="J133" s="33">
        <f>I133+turn_min+dwell_min</f>
        <v/>
      </c>
      <c r="K133" s="34">
        <f>MIN(10,FLOOR(60*service_hr/J133,1))</f>
        <v/>
      </c>
      <c r="L133" s="34">
        <f>ROUND(365*mech_uptime*H133,0)</f>
        <v/>
      </c>
      <c r="M133" s="35">
        <f>mech_uptime</f>
        <v/>
      </c>
      <c r="N133" s="35">
        <f>revleg_sel</f>
        <v/>
      </c>
      <c r="O133" s="34">
        <f>ROUND(K133*L133*revleg_sel,0)</f>
        <v/>
      </c>
      <c r="P133" s="36">
        <f>load_sel</f>
        <v/>
      </c>
      <c r="Q133" s="36">
        <f>pax_cap*P133</f>
        <v/>
      </c>
      <c r="R133" s="34">
        <f>Q133*O133</f>
        <v/>
      </c>
      <c r="S133" s="37">
        <f>E133*discount</f>
        <v/>
      </c>
      <c r="T133" s="38">
        <f>S133*R133</f>
        <v/>
      </c>
      <c r="U133" s="38">
        <f>(battery/range_nm)*D133*O133*VLOOKUP(B133,country_opex,3,FALSE)</f>
        <v/>
      </c>
      <c r="V133" s="38">
        <f>VLOOKUP(B133,country_opex,2,FALSE)*crew_factor</f>
        <v/>
      </c>
      <c r="W133" s="38">
        <f>VLOOKUP(B133,country_opex,5,FALSE)</f>
        <v/>
      </c>
      <c r="X133" s="38">
        <f>maint</f>
        <v/>
      </c>
      <c r="Y133" s="38">
        <f>VLOOKUP(B133,country_opex,7,FALSE)*ins_pct</f>
        <v/>
      </c>
      <c r="Z133" s="38">
        <f>charge_berth</f>
        <v/>
      </c>
      <c r="AA133" s="38">
        <f>U133+V133+W133+X133+Y133+Z133</f>
        <v/>
      </c>
      <c r="AB133" s="38">
        <f>VLOOKUP(B133,country_opex,7,FALSE)/dep_years</f>
        <v/>
      </c>
      <c r="AC133" s="38">
        <f>T133-AA133</f>
        <v/>
      </c>
      <c r="AD133" s="35">
        <f>IF(T133=0,"",AC133/T133)</f>
        <v/>
      </c>
      <c r="AE133" s="36">
        <f>IF(AC133&lt;=0,"",VLOOKUP(B133,country_opex,7,FALSE)/AC133)</f>
        <v/>
      </c>
      <c r="AF133" s="33">
        <f>((D133*O133/diesel_nmpg)*diesel_co2pg-(battery/range_nm)*D133*O133*VLOOKUP(B133,country_opex,4,FALSE))/1000</f>
        <v/>
      </c>
      <c r="AG133" s="31" t="n">
        <v>17806</v>
      </c>
      <c r="AH133" s="32" t="n"/>
      <c r="AI133" s="32" t="n"/>
      <c r="AJ133" s="39" t="n">
        <v>0.1</v>
      </c>
      <c r="AK133" s="34">
        <f>IF(AG133="","",AG133*AJ133)</f>
        <v/>
      </c>
      <c r="AL133" s="34">
        <f>IF(OR(AG133="",R133=0),"",MIN(IF(AS133="",9.9E+99,AS133),FLOOR(AK133/R133,1)))</f>
        <v/>
      </c>
      <c r="AM133" s="38">
        <f>IF(AL133="","",AL133*T133)</f>
        <v/>
      </c>
      <c r="AN133" s="36">
        <f>IF(OR(AG133="",R133=0),"",MIN(IF(AS133="",9.9E+99,AS133),AK133/R133))</f>
        <v/>
      </c>
      <c r="AO133" s="38">
        <f>IF(AN133="","",AN133*T133)</f>
        <v/>
      </c>
      <c r="AP133" s="40" t="n"/>
      <c r="AQ133" s="41" t="n"/>
      <c r="AR133" s="41" t="n"/>
      <c r="AS133" s="42" t="n"/>
      <c r="AT133" s="43">
        <f>IF(((S133*pax_cap*load_thin*ROUND(K133*L133*revleg_thin,0))-(((battery/range_nm)*D133*ROUND(K133*L133*revleg_thin,0)*VLOOKUP(B133,country_opex,3,FALSE))+V133+W133+X133+Y133+Z133))&lt;=0,"",VLOOKUP(B133,country_opex,7,FALSE)/((S133*pax_cap*load_thin*ROUND(K133*L133*revleg_thin,0))-(((battery/range_nm)*D133*ROUND(K133*L133*revleg_thin,0)*VLOOKUP(B133,country_opex,3,FALSE))+V133+W133+X133+Y133+Z133)))</f>
        <v/>
      </c>
      <c r="AU133" s="43">
        <f>IF(((S133*pax_cap*load_mid*ROUND(K133*L133*revleg_mid,0))-(((battery/range_nm)*D133*ROUND(K133*L133*revleg_mid,0)*VLOOKUP(B133,country_opex,3,FALSE))+V133+W133+X133+Y133+Z133))&lt;=0,"",VLOOKUP(B133,country_opex,7,FALSE)/((S133*pax_cap*load_mid*ROUND(K133*L133*revleg_mid,0))-(((battery/range_nm)*D133*ROUND(K133*L133*revleg_mid,0)*VLOOKUP(B133,country_opex,3,FALSE))+V133+W133+X133+Y133+Z133)))</f>
        <v/>
      </c>
      <c r="AV133" s="43">
        <f>IF(((S133*pax_cap*load_full*ROUND(K133*L133*revleg_full,0))-(((battery/range_nm)*D133*ROUND(K133*L133*revleg_full,0)*VLOOKUP(B133,country_opex,3,FALSE))+V133+W133+X133+Y133+Z133))&lt;=0,"",VLOOKUP(B133,country_opex,7,FALSE)/((S133*pax_cap*load_full*ROUND(K133*L133*revleg_full,0))-(((battery/range_nm)*D133*ROUND(K133*L133*revleg_full,0)*VLOOKUP(B133,country_opex,3,FALSE))+V133+W133+X133+Y133+Z133)))</f>
        <v/>
      </c>
      <c r="AW133" s="44" t="inlineStr">
        <is>
          <t>PREMIUM tier: charter-divided per-seat ~60 RON (Portul Tomis Condor/Tomis/Euphoria group sea charters 400-1400 RON per group / ~10-12 pax). 60 RON / 4.6 = ~$13.0. No scheduled premium fast-shuttle exists today on this hop.</t>
        </is>
      </c>
      <c r="AX133" s="44" t="n"/>
    </row>
    <row r="134">
      <c r="A134" s="29" t="inlineStr">
        <is>
          <t>Bolt Romania</t>
        </is>
      </c>
      <c r="B134" s="29" t="inlineStr">
        <is>
          <t>Romania</t>
        </is>
      </c>
      <c r="C134" s="30" t="inlineStr">
        <is>
          <t>Constanta → Eforie Nord</t>
        </is>
      </c>
      <c r="D134" s="31" t="n">
        <v>8</v>
      </c>
      <c r="E134" s="26" t="n">
        <v>13</v>
      </c>
      <c r="F134" s="32" t="inlineStr">
        <is>
          <t>T2</t>
        </is>
      </c>
      <c r="G134" s="32" t="inlineStr">
        <is>
          <t>med</t>
        </is>
      </c>
      <c r="H134" s="19" t="n">
        <v>1</v>
      </c>
      <c r="I134" s="33">
        <f>60*D134/cruise_kt</f>
        <v/>
      </c>
      <c r="J134" s="33">
        <f>I134+turn_min+dwell_min</f>
        <v/>
      </c>
      <c r="K134" s="34">
        <f>MIN(16,FLOOR(60*service_hr/J134,1))</f>
        <v/>
      </c>
      <c r="L134" s="34">
        <f>ROUND(365*mech_uptime*H134,0)</f>
        <v/>
      </c>
      <c r="M134" s="35">
        <f>mech_uptime</f>
        <v/>
      </c>
      <c r="N134" s="35">
        <f>revleg_sel</f>
        <v/>
      </c>
      <c r="O134" s="34">
        <f>ROUND(K134*L134*revleg_sel,0)</f>
        <v/>
      </c>
      <c r="P134" s="36">
        <f>load_sel</f>
        <v/>
      </c>
      <c r="Q134" s="36">
        <f>pax_cap*P134</f>
        <v/>
      </c>
      <c r="R134" s="34">
        <f>Q134*O134</f>
        <v/>
      </c>
      <c r="S134" s="37">
        <f>E134*discount</f>
        <v/>
      </c>
      <c r="T134" s="38">
        <f>S134*R134</f>
        <v/>
      </c>
      <c r="U134" s="38">
        <f>(battery/range_nm)*D134*O134*VLOOKUP(B134,country_opex,3,FALSE)</f>
        <v/>
      </c>
      <c r="V134" s="38">
        <f>VLOOKUP(B134,country_opex,2,FALSE)*crew_factor</f>
        <v/>
      </c>
      <c r="W134" s="38">
        <f>VLOOKUP(B134,country_opex,5,FALSE)</f>
        <v/>
      </c>
      <c r="X134" s="38">
        <f>maint</f>
        <v/>
      </c>
      <c r="Y134" s="38">
        <f>VLOOKUP(B134,country_opex,7,FALSE)*ins_pct</f>
        <v/>
      </c>
      <c r="Z134" s="38">
        <f>charge_berth</f>
        <v/>
      </c>
      <c r="AA134" s="38">
        <f>U134+V134+W134+X134+Y134+Z134</f>
        <v/>
      </c>
      <c r="AB134" s="38">
        <f>VLOOKUP(B134,country_opex,7,FALSE)/dep_years</f>
        <v/>
      </c>
      <c r="AC134" s="38">
        <f>T134-AA134</f>
        <v/>
      </c>
      <c r="AD134" s="35">
        <f>IF(T134=0,"",AC134/T134)</f>
        <v/>
      </c>
      <c r="AE134" s="36">
        <f>IF(AC134&lt;=0,"",VLOOKUP(B134,country_opex,7,FALSE)/AC134)</f>
        <v/>
      </c>
      <c r="AF134" s="33">
        <f>((D134*O134/diesel_nmpg)*diesel_co2pg-(battery/range_nm)*D134*O134*VLOOKUP(B134,country_opex,4,FALSE))/1000</f>
        <v/>
      </c>
      <c r="AG134" s="31" t="n">
        <v>14736</v>
      </c>
      <c r="AH134" s="32" t="n"/>
      <c r="AI134" s="32" t="n"/>
      <c r="AJ134" s="39" t="n">
        <v>0.1</v>
      </c>
      <c r="AK134" s="34">
        <f>IF(AG134="","",AG134*AJ134)</f>
        <v/>
      </c>
      <c r="AL134" s="34">
        <f>IF(OR(AG134="",R134=0),"",MIN(IF(AS134="",9.9E+99,AS134),FLOOR(AK134/R134,1)))</f>
        <v/>
      </c>
      <c r="AM134" s="38">
        <f>IF(AL134="","",AL134*T134)</f>
        <v/>
      </c>
      <c r="AN134" s="36">
        <f>IF(OR(AG134="",R134=0),"",MIN(IF(AS134="",9.9E+99,AS134),AK134/R134))</f>
        <v/>
      </c>
      <c r="AO134" s="38">
        <f>IF(AN134="","",AN134*T134)</f>
        <v/>
      </c>
      <c r="AP134" s="40" t="n"/>
      <c r="AQ134" s="41" t="n"/>
      <c r="AR134" s="41" t="n"/>
      <c r="AS134" s="42" t="n"/>
      <c r="AT134" s="43">
        <f>IF(((S134*pax_cap*load_thin*ROUND(K134*L134*revleg_thin,0))-(((battery/range_nm)*D134*ROUND(K134*L134*revleg_thin,0)*VLOOKUP(B134,country_opex,3,FALSE))+V134+W134+X134+Y134+Z134))&lt;=0,"",VLOOKUP(B134,country_opex,7,FALSE)/((S134*pax_cap*load_thin*ROUND(K134*L134*revleg_thin,0))-(((battery/range_nm)*D134*ROUND(K134*L134*revleg_thin,0)*VLOOKUP(B134,country_opex,3,FALSE))+V134+W134+X134+Y134+Z134)))</f>
        <v/>
      </c>
      <c r="AU134" s="43">
        <f>IF(((S134*pax_cap*load_mid*ROUND(K134*L134*revleg_mid,0))-(((battery/range_nm)*D134*ROUND(K134*L134*revleg_mid,0)*VLOOKUP(B134,country_opex,3,FALSE))+V134+W134+X134+Y134+Z134))&lt;=0,"",VLOOKUP(B134,country_opex,7,FALSE)/((S134*pax_cap*load_mid*ROUND(K134*L134*revleg_mid,0))-(((battery/range_nm)*D134*ROUND(K134*L134*revleg_mid,0)*VLOOKUP(B134,country_opex,3,FALSE))+V134+W134+X134+Y134+Z134)))</f>
        <v/>
      </c>
      <c r="AV134" s="43">
        <f>IF(((S134*pax_cap*load_full*ROUND(K134*L134*revleg_full,0))-(((battery/range_nm)*D134*ROUND(K134*L134*revleg_full,0)*VLOOKUP(B134,country_opex,3,FALSE))+V134+W134+X134+Y134+Z134))&lt;=0,"",VLOOKUP(B134,country_opex,7,FALSE)/((S134*pax_cap*load_full*ROUND(K134*L134*revleg_full,0))-(((battery/range_nm)*D134*ROUND(K134*L134*revleg_full,0)*VLOOKUP(B134,country_opex,3,FALSE))+V134+W134+X134+Y134+Z134)))</f>
        <v/>
      </c>
      <c r="AW134" s="44" t="inlineStr">
        <is>
          <t>Coast premium per-seat ~60 RON (charter-divided). ~$13.0.</t>
        </is>
      </c>
      <c r="AX134" s="44" t="n"/>
    </row>
    <row r="135">
      <c r="A135" s="29" t="inlineStr">
        <is>
          <t>Bolt Romania</t>
        </is>
      </c>
      <c r="B135" s="29" t="inlineStr">
        <is>
          <t>Romania</t>
        </is>
      </c>
      <c r="C135" s="30" t="inlineStr">
        <is>
          <t>Constanta → Navodari (Mamaia Nord)</t>
        </is>
      </c>
      <c r="D135" s="31" t="n">
        <v>9</v>
      </c>
      <c r="E135" s="26" t="n">
        <v>13</v>
      </c>
      <c r="F135" s="32" t="inlineStr">
        <is>
          <t>T2</t>
        </is>
      </c>
      <c r="G135" s="32" t="inlineStr">
        <is>
          <t>med</t>
        </is>
      </c>
      <c r="H135" s="19" t="n">
        <v>1</v>
      </c>
      <c r="I135" s="33">
        <f>60*D135/cruise_kt</f>
        <v/>
      </c>
      <c r="J135" s="33">
        <f>I135+turn_min+dwell_min</f>
        <v/>
      </c>
      <c r="K135" s="34">
        <f>MIN(16,FLOOR(60*service_hr/J135,1))</f>
        <v/>
      </c>
      <c r="L135" s="34">
        <f>ROUND(365*mech_uptime*H135,0)</f>
        <v/>
      </c>
      <c r="M135" s="35">
        <f>mech_uptime</f>
        <v/>
      </c>
      <c r="N135" s="35">
        <f>revleg_sel</f>
        <v/>
      </c>
      <c r="O135" s="34">
        <f>ROUND(K135*L135*revleg_sel,0)</f>
        <v/>
      </c>
      <c r="P135" s="36">
        <f>load_sel</f>
        <v/>
      </c>
      <c r="Q135" s="36">
        <f>pax_cap*P135</f>
        <v/>
      </c>
      <c r="R135" s="34">
        <f>Q135*O135</f>
        <v/>
      </c>
      <c r="S135" s="37">
        <f>E135*discount</f>
        <v/>
      </c>
      <c r="T135" s="38">
        <f>S135*R135</f>
        <v/>
      </c>
      <c r="U135" s="38">
        <f>(battery/range_nm)*D135*O135*VLOOKUP(B135,country_opex,3,FALSE)</f>
        <v/>
      </c>
      <c r="V135" s="38">
        <f>VLOOKUP(B135,country_opex,2,FALSE)*crew_factor</f>
        <v/>
      </c>
      <c r="W135" s="38">
        <f>VLOOKUP(B135,country_opex,5,FALSE)</f>
        <v/>
      </c>
      <c r="X135" s="38">
        <f>maint</f>
        <v/>
      </c>
      <c r="Y135" s="38">
        <f>VLOOKUP(B135,country_opex,7,FALSE)*ins_pct</f>
        <v/>
      </c>
      <c r="Z135" s="38">
        <f>charge_berth</f>
        <v/>
      </c>
      <c r="AA135" s="38">
        <f>U135+V135+W135+X135+Y135+Z135</f>
        <v/>
      </c>
      <c r="AB135" s="38">
        <f>VLOOKUP(B135,country_opex,7,FALSE)/dep_years</f>
        <v/>
      </c>
      <c r="AC135" s="38">
        <f>T135-AA135</f>
        <v/>
      </c>
      <c r="AD135" s="35">
        <f>IF(T135=0,"",AC135/T135)</f>
        <v/>
      </c>
      <c r="AE135" s="36">
        <f>IF(AC135&lt;=0,"",VLOOKUP(B135,country_opex,7,FALSE)/AC135)</f>
        <v/>
      </c>
      <c r="AF135" s="33">
        <f>((D135*O135/diesel_nmpg)*diesel_co2pg-(battery/range_nm)*D135*O135*VLOOKUP(B135,country_opex,4,FALSE))/1000</f>
        <v/>
      </c>
      <c r="AG135" s="31" t="n"/>
      <c r="AH135" s="32" t="n"/>
      <c r="AI135" s="32" t="n"/>
      <c r="AJ135" s="39" t="n">
        <v>0.1</v>
      </c>
      <c r="AK135" s="34">
        <f>IF(AG135="","",AG135*AJ135)</f>
        <v/>
      </c>
      <c r="AL135" s="34">
        <f>IF(OR(AG135="",R135=0),"",MIN(IF(AS135="",9.9E+99,AS135),FLOOR(AK135/R135,1)))</f>
        <v/>
      </c>
      <c r="AM135" s="38">
        <f>IF(AL135="","",AL135*T135)</f>
        <v/>
      </c>
      <c r="AN135" s="36">
        <f>IF(OR(AG135="",R135=0),"",MIN(IF(AS135="",9.9E+99,AS135),AK135/R135))</f>
        <v/>
      </c>
      <c r="AO135" s="38">
        <f>IF(AN135="","",AN135*T135)</f>
        <v/>
      </c>
      <c r="AP135" s="40" t="n"/>
      <c r="AQ135" s="41" t="n"/>
      <c r="AR135" s="41" t="n"/>
      <c r="AS135" s="42" t="n"/>
      <c r="AT135" s="43">
        <f>IF(((S135*pax_cap*load_thin*ROUND(K135*L135*revleg_thin,0))-(((battery/range_nm)*D135*ROUND(K135*L135*revleg_thin,0)*VLOOKUP(B135,country_opex,3,FALSE))+V135+W135+X135+Y135+Z135))&lt;=0,"",VLOOKUP(B135,country_opex,7,FALSE)/((S135*pax_cap*load_thin*ROUND(K135*L135*revleg_thin,0))-(((battery/range_nm)*D135*ROUND(K135*L135*revleg_thin,0)*VLOOKUP(B135,country_opex,3,FALSE))+V135+W135+X135+Y135+Z135)))</f>
        <v/>
      </c>
      <c r="AU135" s="43">
        <f>IF(((S135*pax_cap*load_mid*ROUND(K135*L135*revleg_mid,0))-(((battery/range_nm)*D135*ROUND(K135*L135*revleg_mid,0)*VLOOKUP(B135,country_opex,3,FALSE))+V135+W135+X135+Y135+Z135))&lt;=0,"",VLOOKUP(B135,country_opex,7,FALSE)/((S135*pax_cap*load_mid*ROUND(K135*L135*revleg_mid,0))-(((battery/range_nm)*D135*ROUND(K135*L135*revleg_mid,0)*VLOOKUP(B135,country_opex,3,FALSE))+V135+W135+X135+Y135+Z135)))</f>
        <v/>
      </c>
      <c r="AV135" s="43">
        <f>IF(((S135*pax_cap*load_full*ROUND(K135*L135*revleg_full,0))-(((battery/range_nm)*D135*ROUND(K135*L135*revleg_full,0)*VLOOKUP(B135,country_opex,3,FALSE))+V135+W135+X135+Y135+Z135))&lt;=0,"",VLOOKUP(B135,country_opex,7,FALSE)/((S135*pax_cap*load_full*ROUND(K135*L135*revleg_full,0))-(((battery/range_nm)*D135*ROUND(K135*L135*revleg_full,0)*VLOOKUP(B135,country_opex,3,FALSE))+V135+W135+X135+Y135+Z135)))</f>
        <v/>
      </c>
      <c r="AW135" s="44" t="inlineStr">
        <is>
          <t>Same coast premium per-seat ~60 RON (charter-divided). ~$13.0.</t>
        </is>
      </c>
      <c r="AX135" s="44" t="n"/>
    </row>
    <row r="136">
      <c r="A136" s="29" t="inlineStr">
        <is>
          <t>Bolt Romania</t>
        </is>
      </c>
      <c r="B136" s="29" t="inlineStr">
        <is>
          <t>Romania</t>
        </is>
      </c>
      <c r="C136" s="30" t="inlineStr">
        <is>
          <t>Constanta → Costinesti</t>
        </is>
      </c>
      <c r="D136" s="31" t="n">
        <v>15</v>
      </c>
      <c r="E136" s="26" t="n">
        <v>13</v>
      </c>
      <c r="F136" s="32" t="inlineStr">
        <is>
          <t>T2</t>
        </is>
      </c>
      <c r="G136" s="32" t="inlineStr">
        <is>
          <t>med</t>
        </is>
      </c>
      <c r="H136" s="19" t="n">
        <v>1</v>
      </c>
      <c r="I136" s="33">
        <f>60*D136/cruise_kt</f>
        <v/>
      </c>
      <c r="J136" s="33">
        <f>I136+turn_min+dwell_min</f>
        <v/>
      </c>
      <c r="K136" s="34">
        <f>MIN(16,FLOOR(60*service_hr/J136,1))</f>
        <v/>
      </c>
      <c r="L136" s="34">
        <f>ROUND(365*mech_uptime*H136,0)</f>
        <v/>
      </c>
      <c r="M136" s="35">
        <f>mech_uptime</f>
        <v/>
      </c>
      <c r="N136" s="35">
        <f>revleg_sel</f>
        <v/>
      </c>
      <c r="O136" s="34">
        <f>ROUND(K136*L136*revleg_sel,0)</f>
        <v/>
      </c>
      <c r="P136" s="36">
        <f>load_sel</f>
        <v/>
      </c>
      <c r="Q136" s="36">
        <f>pax_cap*P136</f>
        <v/>
      </c>
      <c r="R136" s="34">
        <f>Q136*O136</f>
        <v/>
      </c>
      <c r="S136" s="37">
        <f>E136*discount</f>
        <v/>
      </c>
      <c r="T136" s="38">
        <f>S136*R136</f>
        <v/>
      </c>
      <c r="U136" s="38">
        <f>(battery/range_nm)*D136*O136*VLOOKUP(B136,country_opex,3,FALSE)</f>
        <v/>
      </c>
      <c r="V136" s="38">
        <f>VLOOKUP(B136,country_opex,2,FALSE)*crew_factor</f>
        <v/>
      </c>
      <c r="W136" s="38">
        <f>VLOOKUP(B136,country_opex,5,FALSE)</f>
        <v/>
      </c>
      <c r="X136" s="38">
        <f>maint</f>
        <v/>
      </c>
      <c r="Y136" s="38">
        <f>VLOOKUP(B136,country_opex,7,FALSE)*ins_pct</f>
        <v/>
      </c>
      <c r="Z136" s="38">
        <f>charge_berth</f>
        <v/>
      </c>
      <c r="AA136" s="38">
        <f>U136+V136+W136+X136+Y136+Z136</f>
        <v/>
      </c>
      <c r="AB136" s="38">
        <f>VLOOKUP(B136,country_opex,7,FALSE)/dep_years</f>
        <v/>
      </c>
      <c r="AC136" s="38">
        <f>T136-AA136</f>
        <v/>
      </c>
      <c r="AD136" s="35">
        <f>IF(T136=0,"",AC136/T136)</f>
        <v/>
      </c>
      <c r="AE136" s="36">
        <f>IF(AC136&lt;=0,"",VLOOKUP(B136,country_opex,7,FALSE)/AC136)</f>
        <v/>
      </c>
      <c r="AF136" s="33">
        <f>((D136*O136/diesel_nmpg)*diesel_co2pg-(battery/range_nm)*D136*O136*VLOOKUP(B136,country_opex,4,FALSE))/1000</f>
        <v/>
      </c>
      <c r="AG136" s="31" t="n">
        <v>7894</v>
      </c>
      <c r="AH136" s="32" t="n"/>
      <c r="AI136" s="32" t="n"/>
      <c r="AJ136" s="39" t="n">
        <v>0.1</v>
      </c>
      <c r="AK136" s="34">
        <f>IF(AG136="","",AG136*AJ136)</f>
        <v/>
      </c>
      <c r="AL136" s="34">
        <f>IF(OR(AG136="",R136=0),"",MIN(IF(AS136="",9.9E+99,AS136),FLOOR(AK136/R136,1)))</f>
        <v/>
      </c>
      <c r="AM136" s="38">
        <f>IF(AL136="","",AL136*T136)</f>
        <v/>
      </c>
      <c r="AN136" s="36">
        <f>IF(OR(AG136="",R136=0),"",MIN(IF(AS136="",9.9E+99,AS136),AK136/R136))</f>
        <v/>
      </c>
      <c r="AO136" s="38">
        <f>IF(AN136="","",AN136*T136)</f>
        <v/>
      </c>
      <c r="AP136" s="40" t="n"/>
      <c r="AQ136" s="41" t="n"/>
      <c r="AR136" s="41" t="n"/>
      <c r="AS136" s="42" t="n"/>
      <c r="AT136" s="43">
        <f>IF(((S136*pax_cap*load_thin*ROUND(K136*L136*revleg_thin,0))-(((battery/range_nm)*D136*ROUND(K136*L136*revleg_thin,0)*VLOOKUP(B136,country_opex,3,FALSE))+V136+W136+X136+Y136+Z136))&lt;=0,"",VLOOKUP(B136,country_opex,7,FALSE)/((S136*pax_cap*load_thin*ROUND(K136*L136*revleg_thin,0))-(((battery/range_nm)*D136*ROUND(K136*L136*revleg_thin,0)*VLOOKUP(B136,country_opex,3,FALSE))+V136+W136+X136+Y136+Z136)))</f>
        <v/>
      </c>
      <c r="AU136" s="43">
        <f>IF(((S136*pax_cap*load_mid*ROUND(K136*L136*revleg_mid,0))-(((battery/range_nm)*D136*ROUND(K136*L136*revleg_mid,0)*VLOOKUP(B136,country_opex,3,FALSE))+V136+W136+X136+Y136+Z136))&lt;=0,"",VLOOKUP(B136,country_opex,7,FALSE)/((S136*pax_cap*load_mid*ROUND(K136*L136*revleg_mid,0))-(((battery/range_nm)*D136*ROUND(K136*L136*revleg_mid,0)*VLOOKUP(B136,country_opex,3,FALSE))+V136+W136+X136+Y136+Z136)))</f>
        <v/>
      </c>
      <c r="AV136" s="43">
        <f>IF(((S136*pax_cap*load_full*ROUND(K136*L136*revleg_full,0))-(((battery/range_nm)*D136*ROUND(K136*L136*revleg_full,0)*VLOOKUP(B136,country_opex,3,FALSE))+V136+W136+X136+Y136+Z136))&lt;=0,"",VLOOKUP(B136,country_opex,7,FALSE)/((S136*pax_cap*load_full*ROUND(K136*L136*revleg_full,0))-(((battery/range_nm)*D136*ROUND(K136*L136*revleg_full,0)*VLOOKUP(B136,country_opex,3,FALSE))+V136+W136+X136+Y136+Z136)))</f>
        <v/>
      </c>
      <c r="AW136" s="44" t="inlineStr">
        <is>
          <t>Coast premium per-seat ~60 RON (charter-divided). ~$13.0.</t>
        </is>
      </c>
      <c r="AX136" s="44" t="n"/>
    </row>
    <row r="137">
      <c r="A137" s="29" t="inlineStr">
        <is>
          <t>Bolt Romania</t>
        </is>
      </c>
      <c r="B137" s="29" t="inlineStr">
        <is>
          <t>Romania</t>
        </is>
      </c>
      <c r="C137" s="30" t="inlineStr">
        <is>
          <t>Bucharest → Snagov</t>
        </is>
      </c>
      <c r="D137" s="31" t="n">
        <v>19</v>
      </c>
      <c r="E137" s="26" t="n"/>
      <c r="F137" s="32" t="n"/>
      <c r="G137" s="32" t="n"/>
      <c r="H137" s="19" t="n">
        <v>1</v>
      </c>
      <c r="I137" s="33">
        <f>60*D137/cruise_kt</f>
        <v/>
      </c>
      <c r="J137" s="33">
        <f>I137+turn_min+dwell_min</f>
        <v/>
      </c>
      <c r="K137" s="34">
        <f>MIN(16,FLOOR(60*service_hr/J137,1))</f>
        <v/>
      </c>
      <c r="L137" s="34">
        <f>ROUND(365*mech_uptime*H137,0)</f>
        <v/>
      </c>
      <c r="M137" s="35">
        <f>mech_uptime</f>
        <v/>
      </c>
      <c r="N137" s="35">
        <f>revleg_sel</f>
        <v/>
      </c>
      <c r="O137" s="34">
        <f>ROUND(K137*L137*revleg_sel,0)</f>
        <v/>
      </c>
      <c r="P137" s="36">
        <f>load_sel</f>
        <v/>
      </c>
      <c r="Q137" s="36">
        <f>pax_cap*P137</f>
        <v/>
      </c>
      <c r="R137" s="34">
        <f>Q137*O137</f>
        <v/>
      </c>
      <c r="S137" s="37">
        <f>E137*discount</f>
        <v/>
      </c>
      <c r="T137" s="38">
        <f>S137*R137</f>
        <v/>
      </c>
      <c r="U137" s="38">
        <f>(battery/range_nm)*D137*O137*VLOOKUP(B137,country_opex,3,FALSE)</f>
        <v/>
      </c>
      <c r="V137" s="38">
        <f>VLOOKUP(B137,country_opex,2,FALSE)*crew_factor</f>
        <v/>
      </c>
      <c r="W137" s="38">
        <f>VLOOKUP(B137,country_opex,5,FALSE)</f>
        <v/>
      </c>
      <c r="X137" s="38">
        <f>maint</f>
        <v/>
      </c>
      <c r="Y137" s="38">
        <f>VLOOKUP(B137,country_opex,7,FALSE)*ins_pct</f>
        <v/>
      </c>
      <c r="Z137" s="38">
        <f>charge_berth</f>
        <v/>
      </c>
      <c r="AA137" s="38">
        <f>U137+V137+W137+X137+Y137+Z137</f>
        <v/>
      </c>
      <c r="AB137" s="38">
        <f>VLOOKUP(B137,country_opex,7,FALSE)/dep_years</f>
        <v/>
      </c>
      <c r="AC137" s="38">
        <f>T137-AA137</f>
        <v/>
      </c>
      <c r="AD137" s="35">
        <f>IF(T137=0,"",AC137/T137)</f>
        <v/>
      </c>
      <c r="AE137" s="36">
        <f>IF(AC137&lt;=0,"",VLOOKUP(B137,country_opex,7,FALSE)/AC137)</f>
        <v/>
      </c>
      <c r="AF137" s="33">
        <f>((D137*O137/diesel_nmpg)*diesel_co2pg-(battery/range_nm)*D137*O137*VLOOKUP(B137,country_opex,4,FALSE))/1000</f>
        <v/>
      </c>
      <c r="AG137" s="31" t="n"/>
      <c r="AH137" s="32" t="n"/>
      <c r="AI137" s="32" t="n"/>
      <c r="AJ137" s="39" t="n">
        <v>0.1</v>
      </c>
      <c r="AK137" s="34">
        <f>IF(AG137="","",AG137*AJ137)</f>
        <v/>
      </c>
      <c r="AL137" s="34">
        <f>IF(OR(AG137="",R137=0),"",MIN(IF(AS137="",9.9E+99,AS137),FLOOR(AK137/R137,1)))</f>
        <v/>
      </c>
      <c r="AM137" s="38">
        <f>IF(AL137="","",AL137*T137)</f>
        <v/>
      </c>
      <c r="AN137" s="36">
        <f>IF(OR(AG137="",R137=0),"",MIN(IF(AS137="",9.9E+99,AS137),AK137/R137))</f>
        <v/>
      </c>
      <c r="AO137" s="38">
        <f>IF(AN137="","",AN137*T137)</f>
        <v/>
      </c>
      <c r="AP137" s="40" t="n"/>
      <c r="AQ137" s="41" t="n"/>
      <c r="AR137" s="41" t="n"/>
      <c r="AS137" s="42" t="n"/>
      <c r="AT137" s="43">
        <f>IF(((S137*pax_cap*load_thin*ROUND(K137*L137*revleg_thin,0))-(((battery/range_nm)*D137*ROUND(K137*L137*revleg_thin,0)*VLOOKUP(B137,country_opex,3,FALSE))+V137+W137+X137+Y137+Z137))&lt;=0,"",VLOOKUP(B137,country_opex,7,FALSE)/((S137*pax_cap*load_thin*ROUND(K137*L137*revleg_thin,0))-(((battery/range_nm)*D137*ROUND(K137*L137*revleg_thin,0)*VLOOKUP(B137,country_opex,3,FALSE))+V137+W137+X137+Y137+Z137)))</f>
        <v/>
      </c>
      <c r="AU137" s="43">
        <f>IF(((S137*pax_cap*load_mid*ROUND(K137*L137*revleg_mid,0))-(((battery/range_nm)*D137*ROUND(K137*L137*revleg_mid,0)*VLOOKUP(B137,country_opex,3,FALSE))+V137+W137+X137+Y137+Z137))&lt;=0,"",VLOOKUP(B137,country_opex,7,FALSE)/((S137*pax_cap*load_mid*ROUND(K137*L137*revleg_mid,0))-(((battery/range_nm)*D137*ROUND(K137*L137*revleg_mid,0)*VLOOKUP(B137,country_opex,3,FALSE))+V137+W137+X137+Y137+Z137)))</f>
        <v/>
      </c>
      <c r="AV137" s="43">
        <f>IF(((S137*pax_cap*load_full*ROUND(K137*L137*revleg_full,0))-(((battery/range_nm)*D137*ROUND(K137*L137*revleg_full,0)*VLOOKUP(B137,country_opex,3,FALSE))+V137+W137+X137+Y137+Z137))&lt;=0,"",VLOOKUP(B137,country_opex,7,FALSE)/((S137*pax_cap*load_full*ROUND(K137*L137*revleg_full,0))-(((battery/range_nm)*D137*ROUND(K137*L137*revleg_full,0)*VLOOKUP(B137,country_opex,3,FALSE))+V137+W137+X137+Y137+Z137)))</f>
        <v/>
      </c>
      <c r="AW137" s="44" t="n"/>
      <c r="AX137" s="44" t="n"/>
    </row>
    <row r="138">
      <c r="A138" s="29" t="inlineStr">
        <is>
          <t>Bolt Romania</t>
        </is>
      </c>
      <c r="B138" s="29" t="inlineStr">
        <is>
          <t>Romania</t>
        </is>
      </c>
      <c r="C138" s="30" t="inlineStr">
        <is>
          <t>Mangalia → Balchik (Bulgaria)</t>
        </is>
      </c>
      <c r="D138" s="31" t="n">
        <v>22</v>
      </c>
      <c r="E138" s="26" t="n"/>
      <c r="F138" s="32" t="n"/>
      <c r="G138" s="32" t="n"/>
      <c r="H138" s="19" t="n">
        <v>1</v>
      </c>
      <c r="I138" s="33">
        <f>60*D138/cruise_kt</f>
        <v/>
      </c>
      <c r="J138" s="33">
        <f>I138+turn_min+dwell_min</f>
        <v/>
      </c>
      <c r="K138" s="34">
        <f>MIN(10,FLOOR(60*service_hr/J138,1))</f>
        <v/>
      </c>
      <c r="L138" s="34">
        <f>ROUND(365*mech_uptime*H138,0)</f>
        <v/>
      </c>
      <c r="M138" s="35">
        <f>mech_uptime</f>
        <v/>
      </c>
      <c r="N138" s="35">
        <f>revleg_sel</f>
        <v/>
      </c>
      <c r="O138" s="34">
        <f>ROUND(K138*L138*revleg_sel,0)</f>
        <v/>
      </c>
      <c r="P138" s="36">
        <f>load_sel</f>
        <v/>
      </c>
      <c r="Q138" s="36">
        <f>pax_cap*P138</f>
        <v/>
      </c>
      <c r="R138" s="34">
        <f>Q138*O138</f>
        <v/>
      </c>
      <c r="S138" s="37">
        <f>E138*discount</f>
        <v/>
      </c>
      <c r="T138" s="38">
        <f>S138*R138</f>
        <v/>
      </c>
      <c r="U138" s="38">
        <f>(battery/range_nm)*D138*O138*VLOOKUP(B138,country_opex,3,FALSE)</f>
        <v/>
      </c>
      <c r="V138" s="38">
        <f>VLOOKUP(B138,country_opex,2,FALSE)*crew_factor</f>
        <v/>
      </c>
      <c r="W138" s="38">
        <f>VLOOKUP(B138,country_opex,5,FALSE)</f>
        <v/>
      </c>
      <c r="X138" s="38">
        <f>maint</f>
        <v/>
      </c>
      <c r="Y138" s="38">
        <f>VLOOKUP(B138,country_opex,7,FALSE)*ins_pct</f>
        <v/>
      </c>
      <c r="Z138" s="38">
        <f>charge_berth</f>
        <v/>
      </c>
      <c r="AA138" s="38">
        <f>U138+V138+W138+X138+Y138+Z138</f>
        <v/>
      </c>
      <c r="AB138" s="38">
        <f>VLOOKUP(B138,country_opex,7,FALSE)/dep_years</f>
        <v/>
      </c>
      <c r="AC138" s="38">
        <f>T138-AA138</f>
        <v/>
      </c>
      <c r="AD138" s="35">
        <f>IF(T138=0,"",AC138/T138)</f>
        <v/>
      </c>
      <c r="AE138" s="36">
        <f>IF(AC138&lt;=0,"",VLOOKUP(B138,country_opex,7,FALSE)/AC138)</f>
        <v/>
      </c>
      <c r="AF138" s="33">
        <f>((D138*O138/diesel_nmpg)*diesel_co2pg-(battery/range_nm)*D138*O138*VLOOKUP(B138,country_opex,4,FALSE))/1000</f>
        <v/>
      </c>
      <c r="AG138" s="31" t="n"/>
      <c r="AH138" s="32" t="n"/>
      <c r="AI138" s="32" t="n"/>
      <c r="AJ138" s="39" t="n">
        <v>0.1</v>
      </c>
      <c r="AK138" s="34">
        <f>IF(AG138="","",AG138*AJ138)</f>
        <v/>
      </c>
      <c r="AL138" s="34">
        <f>IF(OR(AG138="",R138=0),"",MIN(IF(AS138="",9.9E+99,AS138),FLOOR(AK138/R138,1)))</f>
        <v/>
      </c>
      <c r="AM138" s="38">
        <f>IF(AL138="","",AL138*T138)</f>
        <v/>
      </c>
      <c r="AN138" s="36">
        <f>IF(OR(AG138="",R138=0),"",MIN(IF(AS138="",9.9E+99,AS138),AK138/R138))</f>
        <v/>
      </c>
      <c r="AO138" s="38">
        <f>IF(AN138="","",AN138*T138)</f>
        <v/>
      </c>
      <c r="AP138" s="40" t="n"/>
      <c r="AQ138" s="41" t="n"/>
      <c r="AR138" s="41" t="n"/>
      <c r="AS138" s="42" t="n"/>
      <c r="AT138" s="43">
        <f>IF(((S138*pax_cap*load_thin*ROUND(K138*L138*revleg_thin,0))-(((battery/range_nm)*D138*ROUND(K138*L138*revleg_thin,0)*VLOOKUP(B138,country_opex,3,FALSE))+V138+W138+X138+Y138+Z138))&lt;=0,"",VLOOKUP(B138,country_opex,7,FALSE)/((S138*pax_cap*load_thin*ROUND(K138*L138*revleg_thin,0))-(((battery/range_nm)*D138*ROUND(K138*L138*revleg_thin,0)*VLOOKUP(B138,country_opex,3,FALSE))+V138+W138+X138+Y138+Z138)))</f>
        <v/>
      </c>
      <c r="AU138" s="43">
        <f>IF(((S138*pax_cap*load_mid*ROUND(K138*L138*revleg_mid,0))-(((battery/range_nm)*D138*ROUND(K138*L138*revleg_mid,0)*VLOOKUP(B138,country_opex,3,FALSE))+V138+W138+X138+Y138+Z138))&lt;=0,"",VLOOKUP(B138,country_opex,7,FALSE)/((S138*pax_cap*load_mid*ROUND(K138*L138*revleg_mid,0))-(((battery/range_nm)*D138*ROUND(K138*L138*revleg_mid,0)*VLOOKUP(B138,country_opex,3,FALSE))+V138+W138+X138+Y138+Z138)))</f>
        <v/>
      </c>
      <c r="AV138" s="43">
        <f>IF(((S138*pax_cap*load_full*ROUND(K138*L138*revleg_full,0))-(((battery/range_nm)*D138*ROUND(K138*L138*revleg_full,0)*VLOOKUP(B138,country_opex,3,FALSE))+V138+W138+X138+Y138+Z138))&lt;=0,"",VLOOKUP(B138,country_opex,7,FALSE)/((S138*pax_cap*load_full*ROUND(K138*L138*revleg_full,0))-(((battery/range_nm)*D138*ROUND(K138*L138*revleg_full,0)*VLOOKUP(B138,country_opex,3,FALSE))+V138+W138+X138+Y138+Z138)))</f>
        <v/>
      </c>
      <c r="AW138" s="44" t="n"/>
      <c r="AX138" s="44" t="n"/>
    </row>
    <row r="139">
      <c r="A139" s="29" t="inlineStr">
        <is>
          <t>Bolt Romania</t>
        </is>
      </c>
      <c r="B139" s="29" t="inlineStr">
        <is>
          <t>Romania</t>
        </is>
      </c>
      <c r="C139" s="30" t="inlineStr">
        <is>
          <t>Constanta → Mangalia</t>
        </is>
      </c>
      <c r="D139" s="31" t="n">
        <v>23</v>
      </c>
      <c r="E139" s="26" t="n">
        <v>13</v>
      </c>
      <c r="F139" s="32" t="inlineStr">
        <is>
          <t>T2</t>
        </is>
      </c>
      <c r="G139" s="32" t="inlineStr">
        <is>
          <t>med</t>
        </is>
      </c>
      <c r="H139" s="19" t="n">
        <v>1</v>
      </c>
      <c r="I139" s="33">
        <f>60*D139/cruise_kt</f>
        <v/>
      </c>
      <c r="J139" s="33">
        <f>I139+turn_min+dwell_min</f>
        <v/>
      </c>
      <c r="K139" s="34">
        <f>MIN(16,FLOOR(60*service_hr/J139,1))</f>
        <v/>
      </c>
      <c r="L139" s="34">
        <f>ROUND(365*mech_uptime*H139,0)</f>
        <v/>
      </c>
      <c r="M139" s="35">
        <f>mech_uptime</f>
        <v/>
      </c>
      <c r="N139" s="35">
        <f>revleg_sel</f>
        <v/>
      </c>
      <c r="O139" s="34">
        <f>ROUND(K139*L139*revleg_sel,0)</f>
        <v/>
      </c>
      <c r="P139" s="36">
        <f>load_sel</f>
        <v/>
      </c>
      <c r="Q139" s="36">
        <f>pax_cap*P139</f>
        <v/>
      </c>
      <c r="R139" s="34">
        <f>Q139*O139</f>
        <v/>
      </c>
      <c r="S139" s="37">
        <f>E139*discount</f>
        <v/>
      </c>
      <c r="T139" s="38">
        <f>S139*R139</f>
        <v/>
      </c>
      <c r="U139" s="38">
        <f>(battery/range_nm)*D139*O139*VLOOKUP(B139,country_opex,3,FALSE)</f>
        <v/>
      </c>
      <c r="V139" s="38">
        <f>VLOOKUP(B139,country_opex,2,FALSE)*crew_factor</f>
        <v/>
      </c>
      <c r="W139" s="38">
        <f>VLOOKUP(B139,country_opex,5,FALSE)</f>
        <v/>
      </c>
      <c r="X139" s="38">
        <f>maint</f>
        <v/>
      </c>
      <c r="Y139" s="38">
        <f>VLOOKUP(B139,country_opex,7,FALSE)*ins_pct</f>
        <v/>
      </c>
      <c r="Z139" s="38">
        <f>charge_berth</f>
        <v/>
      </c>
      <c r="AA139" s="38">
        <f>U139+V139+W139+X139+Y139+Z139</f>
        <v/>
      </c>
      <c r="AB139" s="38">
        <f>VLOOKUP(B139,country_opex,7,FALSE)/dep_years</f>
        <v/>
      </c>
      <c r="AC139" s="38">
        <f>T139-AA139</f>
        <v/>
      </c>
      <c r="AD139" s="35">
        <f>IF(T139=0,"",AC139/T139)</f>
        <v/>
      </c>
      <c r="AE139" s="36">
        <f>IF(AC139&lt;=0,"",VLOOKUP(B139,country_opex,7,FALSE)/AC139)</f>
        <v/>
      </c>
      <c r="AF139" s="33">
        <f>((D139*O139/diesel_nmpg)*diesel_co2pg-(battery/range_nm)*D139*O139*VLOOKUP(B139,country_opex,4,FALSE))/1000</f>
        <v/>
      </c>
      <c r="AG139" s="31" t="n">
        <v>7017</v>
      </c>
      <c r="AH139" s="32" t="n"/>
      <c r="AI139" s="32" t="n"/>
      <c r="AJ139" s="39" t="n">
        <v>0.1</v>
      </c>
      <c r="AK139" s="34">
        <f>IF(AG139="","",AG139*AJ139)</f>
        <v/>
      </c>
      <c r="AL139" s="34">
        <f>IF(OR(AG139="",R139=0),"",MIN(IF(AS139="",9.9E+99,AS139),FLOOR(AK139/R139,1)))</f>
        <v/>
      </c>
      <c r="AM139" s="38">
        <f>IF(AL139="","",AL139*T139)</f>
        <v/>
      </c>
      <c r="AN139" s="36">
        <f>IF(OR(AG139="",R139=0),"",MIN(IF(AS139="",9.9E+99,AS139),AK139/R139))</f>
        <v/>
      </c>
      <c r="AO139" s="38">
        <f>IF(AN139="","",AN139*T139)</f>
        <v/>
      </c>
      <c r="AP139" s="40" t="n"/>
      <c r="AQ139" s="41" t="n"/>
      <c r="AR139" s="41" t="n"/>
      <c r="AS139" s="42" t="n"/>
      <c r="AT139" s="43">
        <f>IF(((S139*pax_cap*load_thin*ROUND(K139*L139*revleg_thin,0))-(((battery/range_nm)*D139*ROUND(K139*L139*revleg_thin,0)*VLOOKUP(B139,country_opex,3,FALSE))+V139+W139+X139+Y139+Z139))&lt;=0,"",VLOOKUP(B139,country_opex,7,FALSE)/((S139*pax_cap*load_thin*ROUND(K139*L139*revleg_thin,0))-(((battery/range_nm)*D139*ROUND(K139*L139*revleg_thin,0)*VLOOKUP(B139,country_opex,3,FALSE))+V139+W139+X139+Y139+Z139)))</f>
        <v/>
      </c>
      <c r="AU139" s="43">
        <f>IF(((S139*pax_cap*load_mid*ROUND(K139*L139*revleg_mid,0))-(((battery/range_nm)*D139*ROUND(K139*L139*revleg_mid,0)*VLOOKUP(B139,country_opex,3,FALSE))+V139+W139+X139+Y139+Z139))&lt;=0,"",VLOOKUP(B139,country_opex,7,FALSE)/((S139*pax_cap*load_mid*ROUND(K139*L139*revleg_mid,0))-(((battery/range_nm)*D139*ROUND(K139*L139*revleg_mid,0)*VLOOKUP(B139,country_opex,3,FALSE))+V139+W139+X139+Y139+Z139)))</f>
        <v/>
      </c>
      <c r="AV139" s="43">
        <f>IF(((S139*pax_cap*load_full*ROUND(K139*L139*revleg_full,0))-(((battery/range_nm)*D139*ROUND(K139*L139*revleg_full,0)*VLOOKUP(B139,country_opex,3,FALSE))+V139+W139+X139+Y139+Z139))&lt;=0,"",VLOOKUP(B139,country_opex,7,FALSE)/((S139*pax_cap*load_full*ROUND(K139*L139*revleg_full,0))-(((battery/range_nm)*D139*ROUND(K139*L139*revleg_full,0)*VLOOKUP(B139,country_opex,3,FALSE))+V139+W139+X139+Y139+Z139)))</f>
        <v/>
      </c>
      <c r="AW139" s="44" t="inlineStr">
        <is>
          <t>Coast premium per-seat ~60 RON (charter-divided). ~$13.0. (Longer leg could justify a higher seat; unsourced -&gt; hold at coast anchor.)</t>
        </is>
      </c>
      <c r="AX139" s="44" t="n"/>
    </row>
    <row r="140">
      <c r="A140" s="29" t="inlineStr">
        <is>
          <t>Bolt Romania</t>
        </is>
      </c>
      <c r="B140" s="29" t="inlineStr">
        <is>
          <t>Romania</t>
        </is>
      </c>
      <c r="C140" s="30" t="inlineStr">
        <is>
          <t>Tulcea → Crisan</t>
        </is>
      </c>
      <c r="D140" s="31" t="n">
        <v>23</v>
      </c>
      <c r="E140" s="26" t="n">
        <v>10.9</v>
      </c>
      <c r="F140" s="32" t="inlineStr">
        <is>
          <t>T2</t>
        </is>
      </c>
      <c r="G140" s="32" t="inlineStr">
        <is>
          <t>med</t>
        </is>
      </c>
      <c r="H140" s="19" t="n">
        <v>1</v>
      </c>
      <c r="I140" s="33">
        <f>60*D140/cruise_kt</f>
        <v/>
      </c>
      <c r="J140" s="33">
        <f>I140+turn_min+dwell_min</f>
        <v/>
      </c>
      <c r="K140" s="34">
        <f>MIN(10,FLOOR(60*service_hr/J140,1))</f>
        <v/>
      </c>
      <c r="L140" s="34">
        <f>ROUND(365*mech_uptime*H140,0)</f>
        <v/>
      </c>
      <c r="M140" s="35">
        <f>mech_uptime</f>
        <v/>
      </c>
      <c r="N140" s="35">
        <f>revleg_sel</f>
        <v/>
      </c>
      <c r="O140" s="34">
        <f>ROUND(K140*L140*revleg_sel,0)</f>
        <v/>
      </c>
      <c r="P140" s="36">
        <f>load_sel</f>
        <v/>
      </c>
      <c r="Q140" s="36">
        <f>pax_cap*P140</f>
        <v/>
      </c>
      <c r="R140" s="34">
        <f>Q140*O140</f>
        <v/>
      </c>
      <c r="S140" s="37">
        <f>E140*discount</f>
        <v/>
      </c>
      <c r="T140" s="38">
        <f>S140*R140</f>
        <v/>
      </c>
      <c r="U140" s="38">
        <f>(battery/range_nm)*D140*O140*VLOOKUP(B140,country_opex,3,FALSE)</f>
        <v/>
      </c>
      <c r="V140" s="38">
        <f>VLOOKUP(B140,country_opex,2,FALSE)*crew_factor</f>
        <v/>
      </c>
      <c r="W140" s="38">
        <f>VLOOKUP(B140,country_opex,5,FALSE)</f>
        <v/>
      </c>
      <c r="X140" s="38">
        <f>maint</f>
        <v/>
      </c>
      <c r="Y140" s="38">
        <f>VLOOKUP(B140,country_opex,7,FALSE)*ins_pct</f>
        <v/>
      </c>
      <c r="Z140" s="38">
        <f>charge_berth</f>
        <v/>
      </c>
      <c r="AA140" s="38">
        <f>U140+V140+W140+X140+Y140+Z140</f>
        <v/>
      </c>
      <c r="AB140" s="38">
        <f>VLOOKUP(B140,country_opex,7,FALSE)/dep_years</f>
        <v/>
      </c>
      <c r="AC140" s="38">
        <f>T140-AA140</f>
        <v/>
      </c>
      <c r="AD140" s="35">
        <f>IF(T140=0,"",AC140/T140)</f>
        <v/>
      </c>
      <c r="AE140" s="36">
        <f>IF(AC140&lt;=0,"",VLOOKUP(B140,country_opex,7,FALSE)/AC140)</f>
        <v/>
      </c>
      <c r="AF140" s="33">
        <f>((D140*O140/diesel_nmpg)*diesel_co2pg-(battery/range_nm)*D140*O140*VLOOKUP(B140,country_opex,4,FALSE))/1000</f>
        <v/>
      </c>
      <c r="AG140" s="31" t="n"/>
      <c r="AH140" s="32" t="n"/>
      <c r="AI140" s="32" t="n"/>
      <c r="AJ140" s="39" t="n">
        <v>0.1</v>
      </c>
      <c r="AK140" s="34">
        <f>IF(AG140="","",AG140*AJ140)</f>
        <v/>
      </c>
      <c r="AL140" s="34">
        <f>IF(OR(AG140="",R140=0),"",MIN(IF(AS140="",9.9E+99,AS140),FLOOR(AK140/R140,1)))</f>
        <v/>
      </c>
      <c r="AM140" s="38">
        <f>IF(AL140="","",AL140*T140)</f>
        <v/>
      </c>
      <c r="AN140" s="36">
        <f>IF(OR(AG140="",R140=0),"",MIN(IF(AS140="",9.9E+99,AS140),AK140/R140))</f>
        <v/>
      </c>
      <c r="AO140" s="38">
        <f>IF(AN140="","",AN140*T140)</f>
        <v/>
      </c>
      <c r="AP140" s="40" t="n"/>
      <c r="AQ140" s="41" t="n"/>
      <c r="AR140" s="41" t="n"/>
      <c r="AS140" s="42" t="n"/>
      <c r="AT140" s="43">
        <f>IF(((S140*pax_cap*load_thin*ROUND(K140*L140*revleg_thin,0))-(((battery/range_nm)*D140*ROUND(K140*L140*revleg_thin,0)*VLOOKUP(B140,country_opex,3,FALSE))+V140+W140+X140+Y140+Z140))&lt;=0,"",VLOOKUP(B140,country_opex,7,FALSE)/((S140*pax_cap*load_thin*ROUND(K140*L140*revleg_thin,0))-(((battery/range_nm)*D140*ROUND(K140*L140*revleg_thin,0)*VLOOKUP(B140,country_opex,3,FALSE))+V140+W140+X140+Y140+Z140)))</f>
        <v/>
      </c>
      <c r="AU140" s="43">
        <f>IF(((S140*pax_cap*load_mid*ROUND(K140*L140*revleg_mid,0))-(((battery/range_nm)*D140*ROUND(K140*L140*revleg_mid,0)*VLOOKUP(B140,country_opex,3,FALSE))+V140+W140+X140+Y140+Z140))&lt;=0,"",VLOOKUP(B140,country_opex,7,FALSE)/((S140*pax_cap*load_mid*ROUND(K140*L140*revleg_mid,0))-(((battery/range_nm)*D140*ROUND(K140*L140*revleg_mid,0)*VLOOKUP(B140,country_opex,3,FALSE))+V140+W140+X140+Y140+Z140)))</f>
        <v/>
      </c>
      <c r="AV140" s="43">
        <f>IF(((S140*pax_cap*load_full*ROUND(K140*L140*revleg_full,0))-(((battery/range_nm)*D140*ROUND(K140*L140*revleg_full,0)*VLOOKUP(B140,country_opex,3,FALSE))+V140+W140+X140+Y140+Z140))&lt;=0,"",VLOOKUP(B140,country_opex,7,FALSE)/((S140*pax_cap*load_full*ROUND(K140*L140*revleg_full,0))-(((battery/range_nm)*D140*ROUND(K140*L140*revleg_full,0)*VLOOKUP(B140,country_opex,3,FALSE))+V140+W140+X140+Y140+Z140)))</f>
        <v/>
      </c>
      <c r="AW140" s="44" t="inlineStr">
        <is>
          <t>Navrom clasica Tulcea-Crisan 50 RON (official table). 50 / 4.6 = ~$10.9.</t>
        </is>
      </c>
      <c r="AX140" s="44" t="n"/>
    </row>
    <row r="141">
      <c r="A141" s="29" t="inlineStr">
        <is>
          <t>Bolt Romania</t>
        </is>
      </c>
      <c r="B141" s="29" t="inlineStr">
        <is>
          <t>Romania</t>
        </is>
      </c>
      <c r="C141" s="30" t="inlineStr">
        <is>
          <t>Tulcea → Sfantu Gheorghe</t>
        </is>
      </c>
      <c r="D141" s="31" t="n">
        <v>30</v>
      </c>
      <c r="E141" s="26" t="n">
        <v>13</v>
      </c>
      <c r="F141" s="32" t="inlineStr">
        <is>
          <t>T2</t>
        </is>
      </c>
      <c r="G141" s="32" t="inlineStr">
        <is>
          <t>med</t>
        </is>
      </c>
      <c r="H141" s="19" t="n">
        <v>1</v>
      </c>
      <c r="I141" s="33">
        <f>60*D141/cruise_kt</f>
        <v/>
      </c>
      <c r="J141" s="33">
        <f>I141+turn_min+dwell_min</f>
        <v/>
      </c>
      <c r="K141" s="34">
        <f>MIN(10,FLOOR(60*service_hr/J141,1))</f>
        <v/>
      </c>
      <c r="L141" s="34">
        <f>ROUND(365*mech_uptime*H141,0)</f>
        <v/>
      </c>
      <c r="M141" s="35">
        <f>mech_uptime</f>
        <v/>
      </c>
      <c r="N141" s="35">
        <f>revleg_sel</f>
        <v/>
      </c>
      <c r="O141" s="34">
        <f>ROUND(K141*L141*revleg_sel,0)</f>
        <v/>
      </c>
      <c r="P141" s="36">
        <f>load_sel</f>
        <v/>
      </c>
      <c r="Q141" s="36">
        <f>pax_cap*P141</f>
        <v/>
      </c>
      <c r="R141" s="34">
        <f>Q141*O141</f>
        <v/>
      </c>
      <c r="S141" s="37">
        <f>E141*discount</f>
        <v/>
      </c>
      <c r="T141" s="38">
        <f>S141*R141</f>
        <v/>
      </c>
      <c r="U141" s="38">
        <f>(battery/range_nm)*D141*O141*VLOOKUP(B141,country_opex,3,FALSE)</f>
        <v/>
      </c>
      <c r="V141" s="38">
        <f>VLOOKUP(B141,country_opex,2,FALSE)*crew_factor</f>
        <v/>
      </c>
      <c r="W141" s="38">
        <f>VLOOKUP(B141,country_opex,5,FALSE)</f>
        <v/>
      </c>
      <c r="X141" s="38">
        <f>maint</f>
        <v/>
      </c>
      <c r="Y141" s="38">
        <f>VLOOKUP(B141,country_opex,7,FALSE)*ins_pct</f>
        <v/>
      </c>
      <c r="Z141" s="38">
        <f>charge_berth</f>
        <v/>
      </c>
      <c r="AA141" s="38">
        <f>U141+V141+W141+X141+Y141+Z141</f>
        <v/>
      </c>
      <c r="AB141" s="38">
        <f>VLOOKUP(B141,country_opex,7,FALSE)/dep_years</f>
        <v/>
      </c>
      <c r="AC141" s="38">
        <f>T141-AA141</f>
        <v/>
      </c>
      <c r="AD141" s="35">
        <f>IF(T141=0,"",AC141/T141)</f>
        <v/>
      </c>
      <c r="AE141" s="36">
        <f>IF(AC141&lt;=0,"",VLOOKUP(B141,country_opex,7,FALSE)/AC141)</f>
        <v/>
      </c>
      <c r="AF141" s="33">
        <f>((D141*O141/diesel_nmpg)*diesel_co2pg-(battery/range_nm)*D141*O141*VLOOKUP(B141,country_opex,4,FALSE))/1000</f>
        <v/>
      </c>
      <c r="AG141" s="31" t="n"/>
      <c r="AH141" s="32" t="n"/>
      <c r="AI141" s="32" t="n"/>
      <c r="AJ141" s="39" t="n">
        <v>0.1</v>
      </c>
      <c r="AK141" s="34">
        <f>IF(AG141="","",AG141*AJ141)</f>
        <v/>
      </c>
      <c r="AL141" s="34">
        <f>IF(OR(AG141="",R141=0),"",MIN(IF(AS141="",9.9E+99,AS141),FLOOR(AK141/R141,1)))</f>
        <v/>
      </c>
      <c r="AM141" s="38">
        <f>IF(AL141="","",AL141*T141)</f>
        <v/>
      </c>
      <c r="AN141" s="36">
        <f>IF(OR(AG141="",R141=0),"",MIN(IF(AS141="",9.9E+99,AS141),AK141/R141))</f>
        <v/>
      </c>
      <c r="AO141" s="38">
        <f>IF(AN141="","",AN141*T141)</f>
        <v/>
      </c>
      <c r="AP141" s="40" t="n"/>
      <c r="AQ141" s="41" t="n"/>
      <c r="AR141" s="41" t="n"/>
      <c r="AS141" s="42" t="n"/>
      <c r="AT141" s="43">
        <f>IF(((S141*pax_cap*load_thin*ROUND(K141*L141*revleg_thin,0))-(((battery/range_nm)*D141*ROUND(K141*L141*revleg_thin,0)*VLOOKUP(B141,country_opex,3,FALSE))+V141+W141+X141+Y141+Z141))&lt;=0,"",VLOOKUP(B141,country_opex,7,FALSE)/((S141*pax_cap*load_thin*ROUND(K141*L141*revleg_thin,0))-(((battery/range_nm)*D141*ROUND(K141*L141*revleg_thin,0)*VLOOKUP(B141,country_opex,3,FALSE))+V141+W141+X141+Y141+Z141)))</f>
        <v/>
      </c>
      <c r="AU141" s="43">
        <f>IF(((S141*pax_cap*load_mid*ROUND(K141*L141*revleg_mid,0))-(((battery/range_nm)*D141*ROUND(K141*L141*revleg_mid,0)*VLOOKUP(B141,country_opex,3,FALSE))+V141+W141+X141+Y141+Z141))&lt;=0,"",VLOOKUP(B141,country_opex,7,FALSE)/((S141*pax_cap*load_mid*ROUND(K141*L141*revleg_mid,0))-(((battery/range_nm)*D141*ROUND(K141*L141*revleg_mid,0)*VLOOKUP(B141,country_opex,3,FALSE))+V141+W141+X141+Y141+Z141)))</f>
        <v/>
      </c>
      <c r="AV141" s="43">
        <f>IF(((S141*pax_cap*load_full*ROUND(K141*L141*revleg_full,0))-(((battery/range_nm)*D141*ROUND(K141*L141*revleg_full,0)*VLOOKUP(B141,country_opex,3,FALSE))+V141+W141+X141+Y141+Z141))&lt;=0,"",VLOOKUP(B141,country_opex,7,FALSE)/((S141*pax_cap*load_full*ROUND(K141*L141*revleg_full,0))-(((battery/range_nm)*D141*ROUND(K141*L141*revleg_full,0)*VLOOKUP(B141,country_opex,3,FALSE))+V141+W141+X141+Y141+Z141)))</f>
        <v/>
      </c>
      <c r="AW141" s="44" t="inlineStr">
        <is>
          <t>Estimated ~60 RON (comparable arm length to Sulina; Navrom Sfantu Gheorghe fare not in the scraped Sulina-arm table). ~$13.0 — UNCONFIRMED, flag.</t>
        </is>
      </c>
      <c r="AX141" s="44" t="n"/>
    </row>
    <row r="142">
      <c r="A142" s="29" t="inlineStr">
        <is>
          <t>Bolt Romania</t>
        </is>
      </c>
      <c r="B142" s="29" t="inlineStr">
        <is>
          <t>Romania</t>
        </is>
      </c>
      <c r="C142" s="30" t="inlineStr">
        <is>
          <t>Tulcea → Periprava</t>
        </is>
      </c>
      <c r="D142" s="31" t="n">
        <v>33</v>
      </c>
      <c r="E142" s="26" t="n"/>
      <c r="F142" s="32" t="n"/>
      <c r="G142" s="32" t="n"/>
      <c r="H142" s="19" t="n">
        <v>1</v>
      </c>
      <c r="I142" s="33">
        <f>60*D142/cruise_kt</f>
        <v/>
      </c>
      <c r="J142" s="33">
        <f>I142+turn_min+dwell_min</f>
        <v/>
      </c>
      <c r="K142" s="34">
        <f>MIN(10,FLOOR(60*service_hr/J142,1))</f>
        <v/>
      </c>
      <c r="L142" s="34">
        <f>ROUND(365*mech_uptime*H142,0)</f>
        <v/>
      </c>
      <c r="M142" s="35">
        <f>mech_uptime</f>
        <v/>
      </c>
      <c r="N142" s="35">
        <f>revleg_sel</f>
        <v/>
      </c>
      <c r="O142" s="34">
        <f>ROUND(K142*L142*revleg_sel,0)</f>
        <v/>
      </c>
      <c r="P142" s="36">
        <f>load_sel</f>
        <v/>
      </c>
      <c r="Q142" s="36">
        <f>pax_cap*P142</f>
        <v/>
      </c>
      <c r="R142" s="34">
        <f>Q142*O142</f>
        <v/>
      </c>
      <c r="S142" s="37">
        <f>E142*discount</f>
        <v/>
      </c>
      <c r="T142" s="38">
        <f>S142*R142</f>
        <v/>
      </c>
      <c r="U142" s="38">
        <f>(battery/range_nm)*D142*O142*VLOOKUP(B142,country_opex,3,FALSE)</f>
        <v/>
      </c>
      <c r="V142" s="38">
        <f>VLOOKUP(B142,country_opex,2,FALSE)*crew_factor</f>
        <v/>
      </c>
      <c r="W142" s="38">
        <f>VLOOKUP(B142,country_opex,5,FALSE)</f>
        <v/>
      </c>
      <c r="X142" s="38">
        <f>maint</f>
        <v/>
      </c>
      <c r="Y142" s="38">
        <f>VLOOKUP(B142,country_opex,7,FALSE)*ins_pct</f>
        <v/>
      </c>
      <c r="Z142" s="38">
        <f>charge_berth</f>
        <v/>
      </c>
      <c r="AA142" s="38">
        <f>U142+V142+W142+X142+Y142+Z142</f>
        <v/>
      </c>
      <c r="AB142" s="38">
        <f>VLOOKUP(B142,country_opex,7,FALSE)/dep_years</f>
        <v/>
      </c>
      <c r="AC142" s="38">
        <f>T142-AA142</f>
        <v/>
      </c>
      <c r="AD142" s="35">
        <f>IF(T142=0,"",AC142/T142)</f>
        <v/>
      </c>
      <c r="AE142" s="36">
        <f>IF(AC142&lt;=0,"",VLOOKUP(B142,country_opex,7,FALSE)/AC142)</f>
        <v/>
      </c>
      <c r="AF142" s="33">
        <f>((D142*O142/diesel_nmpg)*diesel_co2pg-(battery/range_nm)*D142*O142*VLOOKUP(B142,country_opex,4,FALSE))/1000</f>
        <v/>
      </c>
      <c r="AG142" s="31" t="n"/>
      <c r="AH142" s="32" t="n"/>
      <c r="AI142" s="32" t="n"/>
      <c r="AJ142" s="39" t="n">
        <v>0.1</v>
      </c>
      <c r="AK142" s="34">
        <f>IF(AG142="","",AG142*AJ142)</f>
        <v/>
      </c>
      <c r="AL142" s="34">
        <f>IF(OR(AG142="",R142=0),"",MIN(IF(AS142="",9.9E+99,AS142),FLOOR(AK142/R142,1)))</f>
        <v/>
      </c>
      <c r="AM142" s="38">
        <f>IF(AL142="","",AL142*T142)</f>
        <v/>
      </c>
      <c r="AN142" s="36">
        <f>IF(OR(AG142="",R142=0),"",MIN(IF(AS142="",9.9E+99,AS142),AK142/R142))</f>
        <v/>
      </c>
      <c r="AO142" s="38">
        <f>IF(AN142="","",AN142*T142)</f>
        <v/>
      </c>
      <c r="AP142" s="40" t="n"/>
      <c r="AQ142" s="41" t="n"/>
      <c r="AR142" s="41" t="n"/>
      <c r="AS142" s="42" t="n"/>
      <c r="AT142" s="43">
        <f>IF(((S142*pax_cap*load_thin*ROUND(K142*L142*revleg_thin,0))-(((battery/range_nm)*D142*ROUND(K142*L142*revleg_thin,0)*VLOOKUP(B142,country_opex,3,FALSE))+V142+W142+X142+Y142+Z142))&lt;=0,"",VLOOKUP(B142,country_opex,7,FALSE)/((S142*pax_cap*load_thin*ROUND(K142*L142*revleg_thin,0))-(((battery/range_nm)*D142*ROUND(K142*L142*revleg_thin,0)*VLOOKUP(B142,country_opex,3,FALSE))+V142+W142+X142+Y142+Z142)))</f>
        <v/>
      </c>
      <c r="AU142" s="43">
        <f>IF(((S142*pax_cap*load_mid*ROUND(K142*L142*revleg_mid,0))-(((battery/range_nm)*D142*ROUND(K142*L142*revleg_mid,0)*VLOOKUP(B142,country_opex,3,FALSE))+V142+W142+X142+Y142+Z142))&lt;=0,"",VLOOKUP(B142,country_opex,7,FALSE)/((S142*pax_cap*load_mid*ROUND(K142*L142*revleg_mid,0))-(((battery/range_nm)*D142*ROUND(K142*L142*revleg_mid,0)*VLOOKUP(B142,country_opex,3,FALSE))+V142+W142+X142+Y142+Z142)))</f>
        <v/>
      </c>
      <c r="AV142" s="43">
        <f>IF(((S142*pax_cap*load_full*ROUND(K142*L142*revleg_full,0))-(((battery/range_nm)*D142*ROUND(K142*L142*revleg_full,0)*VLOOKUP(B142,country_opex,3,FALSE))+V142+W142+X142+Y142+Z142))&lt;=0,"",VLOOKUP(B142,country_opex,7,FALSE)/((S142*pax_cap*load_full*ROUND(K142*L142*revleg_full,0))-(((battery/range_nm)*D142*ROUND(K142*L142*revleg_full,0)*VLOOKUP(B142,country_opex,3,FALSE))+V142+W142+X142+Y142+Z142)))</f>
        <v/>
      </c>
      <c r="AW142" s="44" t="n"/>
      <c r="AX142" s="44" t="n"/>
    </row>
    <row r="143">
      <c r="A143" s="29" t="inlineStr">
        <is>
          <t>Bolt Romania</t>
        </is>
      </c>
      <c r="B143" s="29" t="inlineStr">
        <is>
          <t>Romania</t>
        </is>
      </c>
      <c r="C143" s="30" t="inlineStr">
        <is>
          <t>Tulcea → Sulina</t>
        </is>
      </c>
      <c r="D143" s="31" t="n">
        <v>34</v>
      </c>
      <c r="E143" s="26" t="n">
        <v>15.2</v>
      </c>
      <c r="F143" s="32" t="inlineStr">
        <is>
          <t>T2</t>
        </is>
      </c>
      <c r="G143" s="32" t="inlineStr">
        <is>
          <t>med</t>
        </is>
      </c>
      <c r="H143" s="19" t="n">
        <v>1</v>
      </c>
      <c r="I143" s="33">
        <f>60*D143/cruise_kt</f>
        <v/>
      </c>
      <c r="J143" s="33">
        <f>I143+turn_min+dwell_min</f>
        <v/>
      </c>
      <c r="K143" s="34">
        <f>MIN(10,FLOOR(60*service_hr/J143,1))</f>
        <v/>
      </c>
      <c r="L143" s="34">
        <f>ROUND(365*mech_uptime*H143,0)</f>
        <v/>
      </c>
      <c r="M143" s="35">
        <f>mech_uptime</f>
        <v/>
      </c>
      <c r="N143" s="35">
        <f>revleg_sel</f>
        <v/>
      </c>
      <c r="O143" s="34">
        <f>ROUND(K143*L143*revleg_sel,0)</f>
        <v/>
      </c>
      <c r="P143" s="36">
        <f>load_sel</f>
        <v/>
      </c>
      <c r="Q143" s="36">
        <f>pax_cap*P143</f>
        <v/>
      </c>
      <c r="R143" s="34">
        <f>Q143*O143</f>
        <v/>
      </c>
      <c r="S143" s="37">
        <f>E143*discount</f>
        <v/>
      </c>
      <c r="T143" s="38">
        <f>S143*R143</f>
        <v/>
      </c>
      <c r="U143" s="38">
        <f>(battery/range_nm)*D143*O143*VLOOKUP(B143,country_opex,3,FALSE)</f>
        <v/>
      </c>
      <c r="V143" s="38">
        <f>VLOOKUP(B143,country_opex,2,FALSE)*crew_factor</f>
        <v/>
      </c>
      <c r="W143" s="38">
        <f>VLOOKUP(B143,country_opex,5,FALSE)</f>
        <v/>
      </c>
      <c r="X143" s="38">
        <f>maint</f>
        <v/>
      </c>
      <c r="Y143" s="38">
        <f>VLOOKUP(B143,country_opex,7,FALSE)*ins_pct</f>
        <v/>
      </c>
      <c r="Z143" s="38">
        <f>charge_berth</f>
        <v/>
      </c>
      <c r="AA143" s="38">
        <f>U143+V143+W143+X143+Y143+Z143</f>
        <v/>
      </c>
      <c r="AB143" s="38">
        <f>VLOOKUP(B143,country_opex,7,FALSE)/dep_years</f>
        <v/>
      </c>
      <c r="AC143" s="38">
        <f>T143-AA143</f>
        <v/>
      </c>
      <c r="AD143" s="35">
        <f>IF(T143=0,"",AC143/T143)</f>
        <v/>
      </c>
      <c r="AE143" s="36">
        <f>IF(AC143&lt;=0,"",VLOOKUP(B143,country_opex,7,FALSE)/AC143)</f>
        <v/>
      </c>
      <c r="AF143" s="33">
        <f>((D143*O143/diesel_nmpg)*diesel_co2pg-(battery/range_nm)*D143*O143*VLOOKUP(B143,country_opex,4,FALSE))/1000</f>
        <v/>
      </c>
      <c r="AG143" s="31" t="n">
        <v>165000</v>
      </c>
      <c r="AH143" s="32" t="n"/>
      <c r="AI143" s="32" t="n"/>
      <c r="AJ143" s="39" t="n">
        <v>0.1</v>
      </c>
      <c r="AK143" s="34">
        <f>IF(AG143="","",AG143*AJ143)</f>
        <v/>
      </c>
      <c r="AL143" s="34">
        <f>IF(OR(AG143="",R143=0),"",MIN(IF(AS143="",9.9E+99,AS143),FLOOR(AK143/R143,1)))</f>
        <v/>
      </c>
      <c r="AM143" s="38">
        <f>IF(AL143="","",AL143*T143)</f>
        <v/>
      </c>
      <c r="AN143" s="36">
        <f>IF(OR(AG143="",R143=0),"",MIN(IF(AS143="",9.9E+99,AS143),AK143/R143))</f>
        <v/>
      </c>
      <c r="AO143" s="38">
        <f>IF(AN143="","",AN143*T143)</f>
        <v/>
      </c>
      <c r="AP143" s="40" t="n"/>
      <c r="AQ143" s="41" t="n"/>
      <c r="AR143" s="41" t="n"/>
      <c r="AS143" s="42" t="n"/>
      <c r="AT143" s="43">
        <f>IF(((S143*pax_cap*load_thin*ROUND(K143*L143*revleg_thin,0))-(((battery/range_nm)*D143*ROUND(K143*L143*revleg_thin,0)*VLOOKUP(B143,country_opex,3,FALSE))+V143+W143+X143+Y143+Z143))&lt;=0,"",VLOOKUP(B143,country_opex,7,FALSE)/((S143*pax_cap*load_thin*ROUND(K143*L143*revleg_thin,0))-(((battery/range_nm)*D143*ROUND(K143*L143*revleg_thin,0)*VLOOKUP(B143,country_opex,3,FALSE))+V143+W143+X143+Y143+Z143)))</f>
        <v/>
      </c>
      <c r="AU143" s="43">
        <f>IF(((S143*pax_cap*load_mid*ROUND(K143*L143*revleg_mid,0))-(((battery/range_nm)*D143*ROUND(K143*L143*revleg_mid,0)*VLOOKUP(B143,country_opex,3,FALSE))+V143+W143+X143+Y143+Z143))&lt;=0,"",VLOOKUP(B143,country_opex,7,FALSE)/((S143*pax_cap*load_mid*ROUND(K143*L143*revleg_mid,0))-(((battery/range_nm)*D143*ROUND(K143*L143*revleg_mid,0)*VLOOKUP(B143,country_opex,3,FALSE))+V143+W143+X143+Y143+Z143)))</f>
        <v/>
      </c>
      <c r="AV143" s="43">
        <f>IF(((S143*pax_cap*load_full*ROUND(K143*L143*revleg_full,0))-(((battery/range_nm)*D143*ROUND(K143*L143*revleg_full,0)*VLOOKUP(B143,country_opex,3,FALSE))+V143+W143+X143+Y143+Z143))&lt;=0,"",VLOOKUP(B143,country_opex,7,FALSE)/((S143*pax_cap*load_full*ROUND(K143*L143*revleg_full,0))-(((battery/range_nm)*D143*ROUND(K143*L143*revleg_full,0)*VLOOKUP(B143,country_opex,3,FALSE))+V143+W143+X143+Y143+Z143)))</f>
        <v/>
      </c>
      <c r="AW143" s="44" t="inlineStr">
        <is>
          <t>PREMIUM tier: Navrom Delta 'semirapida' (fast catamaran) Tulcea-Sulina ~70 RON adult (Radio Romania, 2025). 70 / 4.6 = ~$15.2. 'Clasica' slow ferry ~60-66 RON ($13.0-14.3) is the standard tier (official Navrom table: 66 RON).</t>
        </is>
      </c>
      <c r="AX143" s="44" t="n"/>
    </row>
    <row r="144">
      <c r="A144" s="29" t="inlineStr">
        <is>
          <t>Bolt Ksa Commercial</t>
        </is>
      </c>
      <c r="B144" s="29" t="inlineStr">
        <is>
          <t>Saudi Arabia</t>
        </is>
      </c>
      <c r="C144" s="30" t="inlineStr">
        <is>
          <t>Jeddah Corniche → Jeddah Central (PIF waterfront)</t>
        </is>
      </c>
      <c r="D144" s="31" t="n">
        <v>2.4</v>
      </c>
      <c r="E144" s="26" t="n">
        <v>60</v>
      </c>
      <c r="F144" s="32" t="inlineStr">
        <is>
          <t>T5</t>
        </is>
      </c>
      <c r="G144" s="32" t="inlineStr">
        <is>
          <t>low</t>
        </is>
      </c>
      <c r="H144" s="19" t="n">
        <v>1</v>
      </c>
      <c r="I144" s="33">
        <f>60*D144/cruise_kt</f>
        <v/>
      </c>
      <c r="J144" s="33">
        <f>I144+turn_min+dwell_min</f>
        <v/>
      </c>
      <c r="K144" s="34">
        <f>MIN(10,FLOOR(60*service_hr/J144,1))</f>
        <v/>
      </c>
      <c r="L144" s="34">
        <f>ROUND(365*mech_uptime*H144,0)</f>
        <v/>
      </c>
      <c r="M144" s="35">
        <f>mech_uptime</f>
        <v/>
      </c>
      <c r="N144" s="35">
        <f>revleg_sel</f>
        <v/>
      </c>
      <c r="O144" s="34">
        <f>ROUND(K144*L144*revleg_sel,0)</f>
        <v/>
      </c>
      <c r="P144" s="36">
        <f>load_sel</f>
        <v/>
      </c>
      <c r="Q144" s="36">
        <f>pax_cap*P144</f>
        <v/>
      </c>
      <c r="R144" s="34">
        <f>Q144*O144</f>
        <v/>
      </c>
      <c r="S144" s="37">
        <f>E144*discount</f>
        <v/>
      </c>
      <c r="T144" s="38">
        <f>S144*R144</f>
        <v/>
      </c>
      <c r="U144" s="38">
        <f>(battery/range_nm)*D144*O144*VLOOKUP(B144,country_opex,3,FALSE)</f>
        <v/>
      </c>
      <c r="V144" s="38">
        <f>VLOOKUP(B144,country_opex,2,FALSE)*crew_factor</f>
        <v/>
      </c>
      <c r="W144" s="38">
        <f>VLOOKUP(B144,country_opex,5,FALSE)</f>
        <v/>
      </c>
      <c r="X144" s="38">
        <f>maint</f>
        <v/>
      </c>
      <c r="Y144" s="38">
        <f>VLOOKUP(B144,country_opex,7,FALSE)*ins_pct</f>
        <v/>
      </c>
      <c r="Z144" s="38">
        <f>charge_berth</f>
        <v/>
      </c>
      <c r="AA144" s="38">
        <f>U144+V144+W144+X144+Y144+Z144</f>
        <v/>
      </c>
      <c r="AB144" s="38">
        <f>VLOOKUP(B144,country_opex,7,FALSE)/dep_years</f>
        <v/>
      </c>
      <c r="AC144" s="38">
        <f>T144-AA144</f>
        <v/>
      </c>
      <c r="AD144" s="35">
        <f>IF(T144=0,"",AC144/T144)</f>
        <v/>
      </c>
      <c r="AE144" s="36">
        <f>IF(AC144&lt;=0,"",VLOOKUP(B144,country_opex,7,FALSE)/AC144)</f>
        <v/>
      </c>
      <c r="AF144" s="33">
        <f>((D144*O144/diesel_nmpg)*diesel_co2pg-(battery/range_nm)*D144*O144*VLOOKUP(B144,country_opex,4,FALSE))/1000</f>
        <v/>
      </c>
      <c r="AG144" s="31" t="n"/>
      <c r="AH144" s="32" t="inlineStr">
        <is>
          <t>T5</t>
        </is>
      </c>
      <c r="AI144" s="32" t="inlineStr">
        <is>
          <t>low</t>
        </is>
      </c>
      <c r="AJ144" s="39" t="n">
        <v>0.1</v>
      </c>
      <c r="AK144" s="34">
        <f>IF(AG144="","",AG144*AJ144)</f>
        <v/>
      </c>
      <c r="AL144" s="34">
        <f>IF(OR(AG144="",R144=0),"",MIN(IF(AS144="",9.9E+99,AS144),FLOOR(AK144/R144,1)))</f>
        <v/>
      </c>
      <c r="AM144" s="38">
        <f>IF(AL144="","",AL144*T144)</f>
        <v/>
      </c>
      <c r="AN144" s="36">
        <f>IF(OR(AG144="",R144=0),"",MIN(IF(AS144="",9.9E+99,AS144),AK144/R144))</f>
        <v/>
      </c>
      <c r="AO144" s="38">
        <f>IF(AN144="","",AN144*T144)</f>
        <v/>
      </c>
      <c r="AP144" s="40" t="n"/>
      <c r="AQ144" s="41" t="n"/>
      <c r="AR144" s="41" t="n"/>
      <c r="AS144" s="42" t="n"/>
      <c r="AT144" s="43">
        <f>IF(((S144*pax_cap*load_thin*ROUND(K144*L144*revleg_thin,0))-(((battery/range_nm)*D144*ROUND(K144*L144*revleg_thin,0)*VLOOKUP(B144,country_opex,3,FALSE))+V144+W144+X144+Y144+Z144))&lt;=0,"",VLOOKUP(B144,country_opex,7,FALSE)/((S144*pax_cap*load_thin*ROUND(K144*L144*revleg_thin,0))-(((battery/range_nm)*D144*ROUND(K144*L144*revleg_thin,0)*VLOOKUP(B144,country_opex,3,FALSE))+V144+W144+X144+Y144+Z144)))</f>
        <v/>
      </c>
      <c r="AU144" s="43">
        <f>IF(((S144*pax_cap*load_mid*ROUND(K144*L144*revleg_mid,0))-(((battery/range_nm)*D144*ROUND(K144*L144*revleg_mid,0)*VLOOKUP(B144,country_opex,3,FALSE))+V144+W144+X144+Y144+Z144))&lt;=0,"",VLOOKUP(B144,country_opex,7,FALSE)/((S144*pax_cap*load_mid*ROUND(K144*L144*revleg_mid,0))-(((battery/range_nm)*D144*ROUND(K144*L144*revleg_mid,0)*VLOOKUP(B144,country_opex,3,FALSE))+V144+W144+X144+Y144+Z144)))</f>
        <v/>
      </c>
      <c r="AV144" s="43">
        <f>IF(((S144*pax_cap*load_full*ROUND(K144*L144*revleg_full,0))-(((battery/range_nm)*D144*ROUND(K144*L144*revleg_full,0)*VLOOKUP(B144,country_opex,3,FALSE))+V144+W144+X144+Y144+Z144))&lt;=0,"",VLOOKUP(B144,country_opex,7,FALSE)/((S144*pax_cap*load_full*ROUND(K144*L144*revleg_full,0))-(((battery/range_nm)*D144*ROUND(K144*L144*revleg_full,0)*VLOOKUP(B144,country_opex,3,FALSE))+V144+W144+X144+Y144+Z144)))</f>
        <v/>
      </c>
      <c r="AW144" s="44" t="inlineStr">
        <is>
          <t>Premium urban/coastal water-transfer comparable (Dubai/Gulf premium water-taxi tier ~$40-80/pax). Jeddah Central is a $20B PIF waterfront (5.7km2, marina/oceanarium/beaches, opening ~2027). No incumbent water transit -&gt; modeled premium per-seat $60.</t>
        </is>
      </c>
      <c r="AX144" s="44" t="inlineStr">
        <is>
          <t>NULL (R2). No published Jeddah Central on-corridor / water-transit visitor target. Saudi national arrivals (100M 2024, target 150M 2030) and Jeddah city arrivals are AIR/ROAD-based (R3 strong mode mismatch) -&gt; not on-water crossing ridership. ALSO R6 FLAG: 45nm is geographically implausible for an intra-Jeddah Corniche&lt;-&gt;Jeddah Central waterfront hop (~few km apart) - likely a distance/routing artifact; report to parent.</t>
        </is>
      </c>
    </row>
    <row r="145">
      <c r="A145" s="29" t="inlineStr">
        <is>
          <t>Bolt Ksa Commercial</t>
        </is>
      </c>
      <c r="B145" s="29" t="inlineStr">
        <is>
          <t>Saudi Arabia</t>
        </is>
      </c>
      <c r="C145" s="30" t="inlineStr">
        <is>
          <t>Outer-island resort → Outer-island resort cluster (Nujuma / Jumeirah / St Regis)</t>
        </is>
      </c>
      <c r="D145" s="31" t="n">
        <v>9.699999999999999</v>
      </c>
      <c r="E145" s="26" t="n">
        <v>125</v>
      </c>
      <c r="F145" s="32" t="inlineStr">
        <is>
          <t>T5</t>
        </is>
      </c>
      <c r="G145" s="32" t="inlineStr">
        <is>
          <t>low</t>
        </is>
      </c>
      <c r="H145" s="19" t="n">
        <v>1</v>
      </c>
      <c r="I145" s="33">
        <f>60*D145/cruise_kt</f>
        <v/>
      </c>
      <c r="J145" s="33">
        <f>I145+turn_min+dwell_min</f>
        <v/>
      </c>
      <c r="K145" s="34">
        <f>MIN(10,FLOOR(60*service_hr/J145,1))</f>
        <v/>
      </c>
      <c r="L145" s="34">
        <f>ROUND(365*mech_uptime*H145,0)</f>
        <v/>
      </c>
      <c r="M145" s="35">
        <f>mech_uptime</f>
        <v/>
      </c>
      <c r="N145" s="35">
        <f>revleg_sel</f>
        <v/>
      </c>
      <c r="O145" s="34">
        <f>ROUND(K145*L145*revleg_sel,0)</f>
        <v/>
      </c>
      <c r="P145" s="36">
        <f>load_sel</f>
        <v/>
      </c>
      <c r="Q145" s="36">
        <f>pax_cap*P145</f>
        <v/>
      </c>
      <c r="R145" s="34">
        <f>Q145*O145</f>
        <v/>
      </c>
      <c r="S145" s="37">
        <f>E145*discount</f>
        <v/>
      </c>
      <c r="T145" s="38">
        <f>S145*R145</f>
        <v/>
      </c>
      <c r="U145" s="38">
        <f>(battery/range_nm)*D145*O145*VLOOKUP(B145,country_opex,3,FALSE)</f>
        <v/>
      </c>
      <c r="V145" s="38">
        <f>VLOOKUP(B145,country_opex,2,FALSE)*crew_factor</f>
        <v/>
      </c>
      <c r="W145" s="38">
        <f>VLOOKUP(B145,country_opex,5,FALSE)</f>
        <v/>
      </c>
      <c r="X145" s="38">
        <f>maint</f>
        <v/>
      </c>
      <c r="Y145" s="38">
        <f>VLOOKUP(B145,country_opex,7,FALSE)*ins_pct</f>
        <v/>
      </c>
      <c r="Z145" s="38">
        <f>charge_berth</f>
        <v/>
      </c>
      <c r="AA145" s="38">
        <f>U145+V145+W145+X145+Y145+Z145</f>
        <v/>
      </c>
      <c r="AB145" s="38">
        <f>VLOOKUP(B145,country_opex,7,FALSE)/dep_years</f>
        <v/>
      </c>
      <c r="AC145" s="38">
        <f>T145-AA145</f>
        <v/>
      </c>
      <c r="AD145" s="35">
        <f>IF(T145=0,"",AC145/T145)</f>
        <v/>
      </c>
      <c r="AE145" s="36">
        <f>IF(AC145&lt;=0,"",VLOOKUP(B145,country_opex,7,FALSE)/AC145)</f>
        <v/>
      </c>
      <c r="AF145" s="33">
        <f>((D145*O145/diesel_nmpg)*diesel_co2pg-(battery/range_nm)*D145*O145*VLOOKUP(B145,country_opex,4,FALSE))/1000</f>
        <v/>
      </c>
      <c r="AG145" s="31" t="n">
        <v>150000</v>
      </c>
      <c r="AH145" s="32" t="inlineStr">
        <is>
          <t>T5</t>
        </is>
      </c>
      <c r="AI145" s="32" t="inlineStr">
        <is>
          <t>low</t>
        </is>
      </c>
      <c r="AJ145" s="39" t="n">
        <v>0.1</v>
      </c>
      <c r="AK145" s="34">
        <f>IF(AG145="","",AG145*AJ145)</f>
        <v/>
      </c>
      <c r="AL145" s="34">
        <f>IF(OR(AG145="",R145=0),"",MIN(IF(AS145="",9.9E+99,AS145),FLOOR(AK145/R145,1)))</f>
        <v/>
      </c>
      <c r="AM145" s="38">
        <f>IF(AL145="","",AL145*T145)</f>
        <v/>
      </c>
      <c r="AN145" s="36">
        <f>IF(OR(AG145="",R145=0),"",MIN(IF(AS145="",9.9E+99,AS145),AK145/R145))</f>
        <v/>
      </c>
      <c r="AO145" s="38">
        <f>IF(AN145="","",AN145*T145)</f>
        <v/>
      </c>
      <c r="AP145" s="40" t="n"/>
      <c r="AQ145" s="41" t="n"/>
      <c r="AR145" s="41" t="n"/>
      <c r="AS145" s="42" t="n"/>
      <c r="AT145" s="43">
        <f>IF(((S145*pax_cap*load_thin*ROUND(K145*L145*revleg_thin,0))-(((battery/range_nm)*D145*ROUND(K145*L145*revleg_thin,0)*VLOOKUP(B145,country_opex,3,FALSE))+V145+W145+X145+Y145+Z145))&lt;=0,"",VLOOKUP(B145,country_opex,7,FALSE)/((S145*pax_cap*load_thin*ROUND(K145*L145*revleg_thin,0))-(((battery/range_nm)*D145*ROUND(K145*L145*revleg_thin,0)*VLOOKUP(B145,country_opex,3,FALSE))+V145+W145+X145+Y145+Z145)))</f>
        <v/>
      </c>
      <c r="AU145" s="43">
        <f>IF(((S145*pax_cap*load_mid*ROUND(K145*L145*revleg_mid,0))-(((battery/range_nm)*D145*ROUND(K145*L145*revleg_mid,0)*VLOOKUP(B145,country_opex,3,FALSE))+V145+W145+X145+Y145+Z145))&lt;=0,"",VLOOKUP(B145,country_opex,7,FALSE)/((S145*pax_cap*load_mid*ROUND(K145*L145*revleg_mid,0))-(((battery/range_nm)*D145*ROUND(K145*L145*revleg_mid,0)*VLOOKUP(B145,country_opex,3,FALSE))+V145+W145+X145+Y145+Z145)))</f>
        <v/>
      </c>
      <c r="AV145" s="43">
        <f>IF(((S145*pax_cap*load_full*ROUND(K145*L145*revleg_full,0))-(((battery/range_nm)*D145*ROUND(K145*L145*revleg_full,0)*VLOOKUP(B145,country_opex,3,FALSE))+V145+W145+X145+Y145+Z145))&lt;=0,"",VLOOKUP(B145,country_opex,7,FALSE)/((S145*pax_cap*load_full*ROUND(K145*L145*revleg_full,0))-(((battery/range_nm)*D145*ROUND(K145*L145*revleg_full,0)*VLOOKUP(B145,country_opex,3,FALSE))+V145+W145+X145+Y145+Z145)))</f>
        <v/>
      </c>
      <c r="AW145" s="44" t="inlineStr">
        <is>
          <t>Maldives resort speedboat transfer per-seat comparable (no incumbent on this greenfield Red Sea crossing, R5): MaldivesNomad resort transfers $65-350/pax 1-way; AtollTransfer $90-450/pax; premium private-resort $150-250 1-way; PointsGuy Marriott speedboat $142 RT. Premium per-seat point picked. 12nm short intra-resort island hop -&gt; premium per-seat $125.</t>
        </is>
      </c>
      <c r="AX145" s="44" t="inlineStr">
        <is>
          <t>Subset of RSG 1M/yr visitor cap doing outer-island-to-outer-island hops (not the main arrival leg). Modeled ~15% of the 1M pool ~150k. Speculative which guests hop islands; R2 borderline.</t>
        </is>
      </c>
    </row>
    <row r="146">
      <c r="A146" s="29" t="inlineStr">
        <is>
          <t>Bolt Ksa Commercial</t>
        </is>
      </c>
      <c r="B146" s="29" t="inlineStr">
        <is>
          <t>Saudi Arabia</t>
        </is>
      </c>
      <c r="C146" s="30" t="inlineStr">
        <is>
          <t>Shura Island Marina → Outer-island resorts (St Regis / Nujuma / Shebara)</t>
        </is>
      </c>
      <c r="D146" s="31" t="n">
        <v>11.5</v>
      </c>
      <c r="E146" s="26" t="n">
        <v>175</v>
      </c>
      <c r="F146" s="32" t="inlineStr">
        <is>
          <t>T5</t>
        </is>
      </c>
      <c r="G146" s="32" t="inlineStr">
        <is>
          <t>low</t>
        </is>
      </c>
      <c r="H146" s="19" t="n">
        <v>1</v>
      </c>
      <c r="I146" s="33">
        <f>60*D146/cruise_kt</f>
        <v/>
      </c>
      <c r="J146" s="33">
        <f>I146+turn_min+dwell_min</f>
        <v/>
      </c>
      <c r="K146" s="34">
        <f>MIN(10,FLOOR(60*service_hr/J146,1))</f>
        <v/>
      </c>
      <c r="L146" s="34">
        <f>ROUND(365*mech_uptime*H146,0)</f>
        <v/>
      </c>
      <c r="M146" s="35">
        <f>mech_uptime</f>
        <v/>
      </c>
      <c r="N146" s="35">
        <f>revleg_sel</f>
        <v/>
      </c>
      <c r="O146" s="34">
        <f>ROUND(K146*L146*revleg_sel,0)</f>
        <v/>
      </c>
      <c r="P146" s="36">
        <f>load_sel</f>
        <v/>
      </c>
      <c r="Q146" s="36">
        <f>pax_cap*P146</f>
        <v/>
      </c>
      <c r="R146" s="34">
        <f>Q146*O146</f>
        <v/>
      </c>
      <c r="S146" s="37">
        <f>E146*discount</f>
        <v/>
      </c>
      <c r="T146" s="38">
        <f>S146*R146</f>
        <v/>
      </c>
      <c r="U146" s="38">
        <f>(battery/range_nm)*D146*O146*VLOOKUP(B146,country_opex,3,FALSE)</f>
        <v/>
      </c>
      <c r="V146" s="38">
        <f>VLOOKUP(B146,country_opex,2,FALSE)*crew_factor</f>
        <v/>
      </c>
      <c r="W146" s="38">
        <f>VLOOKUP(B146,country_opex,5,FALSE)</f>
        <v/>
      </c>
      <c r="X146" s="38">
        <f>maint</f>
        <v/>
      </c>
      <c r="Y146" s="38">
        <f>VLOOKUP(B146,country_opex,7,FALSE)*ins_pct</f>
        <v/>
      </c>
      <c r="Z146" s="38">
        <f>charge_berth</f>
        <v/>
      </c>
      <c r="AA146" s="38">
        <f>U146+V146+W146+X146+Y146+Z146</f>
        <v/>
      </c>
      <c r="AB146" s="38">
        <f>VLOOKUP(B146,country_opex,7,FALSE)/dep_years</f>
        <v/>
      </c>
      <c r="AC146" s="38">
        <f>T146-AA146</f>
        <v/>
      </c>
      <c r="AD146" s="35">
        <f>IF(T146=0,"",AC146/T146)</f>
        <v/>
      </c>
      <c r="AE146" s="36">
        <f>IF(AC146&lt;=0,"",VLOOKUP(B146,country_opex,7,FALSE)/AC146)</f>
        <v/>
      </c>
      <c r="AF146" s="33">
        <f>((D146*O146/diesel_nmpg)*diesel_co2pg-(battery/range_nm)*D146*O146*VLOOKUP(B146,country_opex,4,FALSE))/1000</f>
        <v/>
      </c>
      <c r="AG146" s="31" t="n">
        <v>500000</v>
      </c>
      <c r="AH146" s="32" t="inlineStr">
        <is>
          <t>T2</t>
        </is>
      </c>
      <c r="AI146" s="32" t="inlineStr">
        <is>
          <t>low-med</t>
        </is>
      </c>
      <c r="AJ146" s="39" t="n">
        <v>0.1</v>
      </c>
      <c r="AK146" s="34">
        <f>IF(AG146="","",AG146*AJ146)</f>
        <v/>
      </c>
      <c r="AL146" s="34">
        <f>IF(OR(AG146="",R146=0),"",MIN(IF(AS146="",9.9E+99,AS146),FLOOR(AK146/R146,1)))</f>
        <v/>
      </c>
      <c r="AM146" s="38">
        <f>IF(AL146="","",AL146*T146)</f>
        <v/>
      </c>
      <c r="AN146" s="36">
        <f>IF(OR(AG146="",R146=0),"",MIN(IF(AS146="",9.9E+99,AS146),AK146/R146))</f>
        <v/>
      </c>
      <c r="AO146" s="38">
        <f>IF(AN146="","",AN146*T146)</f>
        <v/>
      </c>
      <c r="AP146" s="40" t="n"/>
      <c r="AQ146" s="41" t="n"/>
      <c r="AR146" s="41" t="n"/>
      <c r="AS146" s="42" t="n"/>
      <c r="AT146" s="43">
        <f>IF(((S146*pax_cap*load_thin*ROUND(K146*L146*revleg_thin,0))-(((battery/range_nm)*D146*ROUND(K146*L146*revleg_thin,0)*VLOOKUP(B146,country_opex,3,FALSE))+V146+W146+X146+Y146+Z146))&lt;=0,"",VLOOKUP(B146,country_opex,7,FALSE)/((S146*pax_cap*load_thin*ROUND(K146*L146*revleg_thin,0))-(((battery/range_nm)*D146*ROUND(K146*L146*revleg_thin,0)*VLOOKUP(B146,country_opex,3,FALSE))+V146+W146+X146+Y146+Z146)))</f>
        <v/>
      </c>
      <c r="AU146" s="43">
        <f>IF(((S146*pax_cap*load_mid*ROUND(K146*L146*revleg_mid,0))-(((battery/range_nm)*D146*ROUND(K146*L146*revleg_mid,0)*VLOOKUP(B146,country_opex,3,FALSE))+V146+W146+X146+Y146+Z146))&lt;=0,"",VLOOKUP(B146,country_opex,7,FALSE)/((S146*pax_cap*load_mid*ROUND(K146*L146*revleg_mid,0))-(((battery/range_nm)*D146*ROUND(K146*L146*revleg_mid,0)*VLOOKUP(B146,country_opex,3,FALSE))+V146+W146+X146+Y146+Z146)))</f>
        <v/>
      </c>
      <c r="AV146" s="43">
        <f>IF(((S146*pax_cap*load_full*ROUND(K146*L146*revleg_full,0))-(((battery/range_nm)*D146*ROUND(K146*L146*revleg_full,0)*VLOOKUP(B146,country_opex,3,FALSE))+V146+W146+X146+Y146+Z146))&lt;=0,"",VLOOKUP(B146,country_opex,7,FALSE)/((S146*pax_cap*load_full*ROUND(K146*L146*revleg_full,0))-(((battery/range_nm)*D146*ROUND(K146*L146*revleg_full,0)*VLOOKUP(B146,country_opex,3,FALSE))+V146+W146+X146+Y146+Z146)))</f>
        <v/>
      </c>
      <c r="AW146" s="44" t="inlineStr">
        <is>
          <t>Maldives resort speedboat transfer per-seat comparable (no incumbent on this greenfield Red Sea crossing, R5): MaldivesNomad resort transfers $65-350/pax 1-way; AtollTransfer $90-450/pax; premium private-resort $150-250 1-way; PointsGuy Marriott speedboat $142 RT. Premium per-seat point picked. 25nm outer-island luxury resort transfer -&gt; premium per-seat $175.</t>
        </is>
      </c>
      <c r="AX146" s="44" t="inlineStr">
        <is>
          <t>Red Sea Global / The Red Sea destination capped at 1,000,000 visitors/yr at full completion 2030 across 50 resorts/8,000+ keys (RSG official; Monaco Yacht Show factsheet 2025; blooloop; ICWA). Shura Island hub-&gt;outer-island resorts is THE primary internal transfer leg; R3 discount ~50% (not all resorts outer-island; some mainland/nearshore) -&gt; ~500k 1-way.</t>
        </is>
      </c>
    </row>
    <row r="147">
      <c r="A147" s="29" t="inlineStr">
        <is>
          <t>Bolt Ksa Commercial</t>
        </is>
      </c>
      <c r="B147" s="29" t="inlineStr">
        <is>
          <t>Saudi Arabia</t>
        </is>
      </c>
      <c r="C147" s="30" t="inlineStr">
        <is>
          <t>Jeddah Corniche → Jeddah Yacht Club &amp; Marina</t>
        </is>
      </c>
      <c r="D147" s="31" t="n">
        <v>12</v>
      </c>
      <c r="E147" s="26" t="n"/>
      <c r="F147" s="32" t="n"/>
      <c r="G147" s="32" t="n"/>
      <c r="H147" s="19" t="n">
        <v>1</v>
      </c>
      <c r="I147" s="33">
        <f>60*D147/cruise_kt</f>
        <v/>
      </c>
      <c r="J147" s="33">
        <f>I147+turn_min+dwell_min</f>
        <v/>
      </c>
      <c r="K147" s="34">
        <f>MIN(10,FLOOR(60*service_hr/J147,1))</f>
        <v/>
      </c>
      <c r="L147" s="34">
        <f>ROUND(365*mech_uptime*H147,0)</f>
        <v/>
      </c>
      <c r="M147" s="35">
        <f>mech_uptime</f>
        <v/>
      </c>
      <c r="N147" s="35">
        <f>revleg_sel</f>
        <v/>
      </c>
      <c r="O147" s="34">
        <f>ROUND(K147*L147*revleg_sel,0)</f>
        <v/>
      </c>
      <c r="P147" s="36">
        <f>load_sel</f>
        <v/>
      </c>
      <c r="Q147" s="36">
        <f>pax_cap*P147</f>
        <v/>
      </c>
      <c r="R147" s="34">
        <f>Q147*O147</f>
        <v/>
      </c>
      <c r="S147" s="37">
        <f>E147*discount</f>
        <v/>
      </c>
      <c r="T147" s="38">
        <f>S147*R147</f>
        <v/>
      </c>
      <c r="U147" s="38">
        <f>(battery/range_nm)*D147*O147*VLOOKUP(B147,country_opex,3,FALSE)</f>
        <v/>
      </c>
      <c r="V147" s="38">
        <f>VLOOKUP(B147,country_opex,2,FALSE)*crew_factor</f>
        <v/>
      </c>
      <c r="W147" s="38">
        <f>VLOOKUP(B147,country_opex,5,FALSE)</f>
        <v/>
      </c>
      <c r="X147" s="38">
        <f>maint</f>
        <v/>
      </c>
      <c r="Y147" s="38">
        <f>VLOOKUP(B147,country_opex,7,FALSE)*ins_pct</f>
        <v/>
      </c>
      <c r="Z147" s="38">
        <f>charge_berth</f>
        <v/>
      </c>
      <c r="AA147" s="38">
        <f>U147+V147+W147+X147+Y147+Z147</f>
        <v/>
      </c>
      <c r="AB147" s="38">
        <f>VLOOKUP(B147,country_opex,7,FALSE)/dep_years</f>
        <v/>
      </c>
      <c r="AC147" s="38">
        <f>T147-AA147</f>
        <v/>
      </c>
      <c r="AD147" s="35">
        <f>IF(T147=0,"",AC147/T147)</f>
        <v/>
      </c>
      <c r="AE147" s="36">
        <f>IF(AC147&lt;=0,"",VLOOKUP(B147,country_opex,7,FALSE)/AC147)</f>
        <v/>
      </c>
      <c r="AF147" s="33">
        <f>((D147*O147/diesel_nmpg)*diesel_co2pg-(battery/range_nm)*D147*O147*VLOOKUP(B147,country_opex,4,FALSE))/1000</f>
        <v/>
      </c>
      <c r="AG147" s="31" t="n"/>
      <c r="AH147" s="32" t="n"/>
      <c r="AI147" s="32" t="n"/>
      <c r="AJ147" s="39" t="n">
        <v>0.1</v>
      </c>
      <c r="AK147" s="34">
        <f>IF(AG147="","",AG147*AJ147)</f>
        <v/>
      </c>
      <c r="AL147" s="34">
        <f>IF(OR(AG147="",R147=0),"",MIN(IF(AS147="",9.9E+99,AS147),FLOOR(AK147/R147,1)))</f>
        <v/>
      </c>
      <c r="AM147" s="38">
        <f>IF(AL147="","",AL147*T147)</f>
        <v/>
      </c>
      <c r="AN147" s="36">
        <f>IF(OR(AG147="",R147=0),"",MIN(IF(AS147="",9.9E+99,AS147),AK147/R147))</f>
        <v/>
      </c>
      <c r="AO147" s="38">
        <f>IF(AN147="","",AN147*T147)</f>
        <v/>
      </c>
      <c r="AP147" s="40" t="n"/>
      <c r="AQ147" s="41" t="n"/>
      <c r="AR147" s="41" t="n"/>
      <c r="AS147" s="42" t="n"/>
      <c r="AT147" s="43">
        <f>IF(((S147*pax_cap*load_thin*ROUND(K147*L147*revleg_thin,0))-(((battery/range_nm)*D147*ROUND(K147*L147*revleg_thin,0)*VLOOKUP(B147,country_opex,3,FALSE))+V147+W147+X147+Y147+Z147))&lt;=0,"",VLOOKUP(B147,country_opex,7,FALSE)/((S147*pax_cap*load_thin*ROUND(K147*L147*revleg_thin,0))-(((battery/range_nm)*D147*ROUND(K147*L147*revleg_thin,0)*VLOOKUP(B147,country_opex,3,FALSE))+V147+W147+X147+Y147+Z147)))</f>
        <v/>
      </c>
      <c r="AU147" s="43">
        <f>IF(((S147*pax_cap*load_mid*ROUND(K147*L147*revleg_mid,0))-(((battery/range_nm)*D147*ROUND(K147*L147*revleg_mid,0)*VLOOKUP(B147,country_opex,3,FALSE))+V147+W147+X147+Y147+Z147))&lt;=0,"",VLOOKUP(B147,country_opex,7,FALSE)/((S147*pax_cap*load_mid*ROUND(K147*L147*revleg_mid,0))-(((battery/range_nm)*D147*ROUND(K147*L147*revleg_mid,0)*VLOOKUP(B147,country_opex,3,FALSE))+V147+W147+X147+Y147+Z147)))</f>
        <v/>
      </c>
      <c r="AV147" s="43">
        <f>IF(((S147*pax_cap*load_full*ROUND(K147*L147*revleg_full,0))-(((battery/range_nm)*D147*ROUND(K147*L147*revleg_full,0)*VLOOKUP(B147,country_opex,3,FALSE))+V147+W147+X147+Y147+Z147))&lt;=0,"",VLOOKUP(B147,country_opex,7,FALSE)/((S147*pax_cap*load_full*ROUND(K147*L147*revleg_full,0))-(((battery/range_nm)*D147*ROUND(K147*L147*revleg_full,0)*VLOOKUP(B147,country_opex,3,FALSE))+V147+W147+X147+Y147+Z147)))</f>
        <v/>
      </c>
      <c r="AW147" s="44" t="n"/>
      <c r="AX147" s="44" t="n"/>
    </row>
    <row r="148">
      <c r="A148" s="29" t="inlineStr">
        <is>
          <t>Bolt Ksa Commercial</t>
        </is>
      </c>
      <c r="B148" s="29" t="inlineStr">
        <is>
          <t>Saudi Arabia</t>
        </is>
      </c>
      <c r="C148" s="30" t="inlineStr">
        <is>
          <t>Khobar / Dammam (Eastern Province) → Manama, Bahrain</t>
        </is>
      </c>
      <c r="D148" s="31" t="n">
        <v>18.6</v>
      </c>
      <c r="E148" s="26" t="n">
        <v>80</v>
      </c>
      <c r="F148" s="32" t="inlineStr">
        <is>
          <t>T5</t>
        </is>
      </c>
      <c r="G148" s="32" t="inlineStr">
        <is>
          <t>low</t>
        </is>
      </c>
      <c r="H148" s="19" t="n">
        <v>1</v>
      </c>
      <c r="I148" s="33">
        <f>60*D148/cruise_kt</f>
        <v/>
      </c>
      <c r="J148" s="33">
        <f>I148+turn_min+dwell_min</f>
        <v/>
      </c>
      <c r="K148" s="34">
        <f>MIN(10,FLOOR(60*service_hr/J148,1))</f>
        <v/>
      </c>
      <c r="L148" s="34">
        <f>ROUND(365*mech_uptime*H148,0)</f>
        <v/>
      </c>
      <c r="M148" s="35">
        <f>mech_uptime</f>
        <v/>
      </c>
      <c r="N148" s="35">
        <f>revleg_sel</f>
        <v/>
      </c>
      <c r="O148" s="34">
        <f>ROUND(K148*L148*revleg_sel,0)</f>
        <v/>
      </c>
      <c r="P148" s="36">
        <f>load_sel</f>
        <v/>
      </c>
      <c r="Q148" s="36">
        <f>pax_cap*P148</f>
        <v/>
      </c>
      <c r="R148" s="34">
        <f>Q148*O148</f>
        <v/>
      </c>
      <c r="S148" s="37">
        <f>E148*discount</f>
        <v/>
      </c>
      <c r="T148" s="38">
        <f>S148*R148</f>
        <v/>
      </c>
      <c r="U148" s="38">
        <f>(battery/range_nm)*D148*O148*VLOOKUP(B148,country_opex,3,FALSE)</f>
        <v/>
      </c>
      <c r="V148" s="38">
        <f>VLOOKUP(B148,country_opex,2,FALSE)*crew_factor</f>
        <v/>
      </c>
      <c r="W148" s="38">
        <f>VLOOKUP(B148,country_opex,5,FALSE)</f>
        <v/>
      </c>
      <c r="X148" s="38">
        <f>maint</f>
        <v/>
      </c>
      <c r="Y148" s="38">
        <f>VLOOKUP(B148,country_opex,7,FALSE)*ins_pct</f>
        <v/>
      </c>
      <c r="Z148" s="38">
        <f>charge_berth</f>
        <v/>
      </c>
      <c r="AA148" s="38">
        <f>U148+V148+W148+X148+Y148+Z148</f>
        <v/>
      </c>
      <c r="AB148" s="38">
        <f>VLOOKUP(B148,country_opex,7,FALSE)/dep_years</f>
        <v/>
      </c>
      <c r="AC148" s="38">
        <f>T148-AA148</f>
        <v/>
      </c>
      <c r="AD148" s="35">
        <f>IF(T148=0,"",AC148/T148)</f>
        <v/>
      </c>
      <c r="AE148" s="36">
        <f>IF(AC148&lt;=0,"",VLOOKUP(B148,country_opex,7,FALSE)/AC148)</f>
        <v/>
      </c>
      <c r="AF148" s="33">
        <f>((D148*O148/diesel_nmpg)*diesel_co2pg-(battery/range_nm)*D148*O148*VLOOKUP(B148,country_opex,4,FALSE))/1000</f>
        <v/>
      </c>
      <c r="AG148" s="31" t="n">
        <v>330000</v>
      </c>
      <c r="AH148" s="32" t="inlineStr">
        <is>
          <t>T3</t>
        </is>
      </c>
      <c r="AI148" s="32" t="inlineStr">
        <is>
          <t>low</t>
        </is>
      </c>
      <c r="AJ148" s="39" t="n">
        <v>0.1</v>
      </c>
      <c r="AK148" s="34">
        <f>IF(AG148="","",AG148*AJ148)</f>
        <v/>
      </c>
      <c r="AL148" s="34">
        <f>IF(OR(AG148="",R148=0),"",MIN(IF(AS148="",9.9E+99,AS148),FLOOR(AK148/R148,1)))</f>
        <v/>
      </c>
      <c r="AM148" s="38">
        <f>IF(AL148="","",AL148*T148)</f>
        <v/>
      </c>
      <c r="AN148" s="36">
        <f>IF(OR(AG148="",R148=0),"",MIN(IF(AS148="",9.9E+99,AS148),AK148/R148))</f>
        <v/>
      </c>
      <c r="AO148" s="38">
        <f>IF(AN148="","",AN148*T148)</f>
        <v/>
      </c>
      <c r="AP148" s="40" t="n"/>
      <c r="AQ148" s="41" t="n"/>
      <c r="AR148" s="41" t="n"/>
      <c r="AS148" s="42" t="n"/>
      <c r="AT148" s="43">
        <f>IF(((S148*pax_cap*load_thin*ROUND(K148*L148*revleg_thin,0))-(((battery/range_nm)*D148*ROUND(K148*L148*revleg_thin,0)*VLOOKUP(B148,country_opex,3,FALSE))+V148+W148+X148+Y148+Z148))&lt;=0,"",VLOOKUP(B148,country_opex,7,FALSE)/((S148*pax_cap*load_thin*ROUND(K148*L148*revleg_thin,0))-(((battery/range_nm)*D148*ROUND(K148*L148*revleg_thin,0)*VLOOKUP(B148,country_opex,3,FALSE))+V148+W148+X148+Y148+Z148)))</f>
        <v/>
      </c>
      <c r="AU148" s="43">
        <f>IF(((S148*pax_cap*load_mid*ROUND(K148*L148*revleg_mid,0))-(((battery/range_nm)*D148*ROUND(K148*L148*revleg_mid,0)*VLOOKUP(B148,country_opex,3,FALSE))+V148+W148+X148+Y148+Z148))&lt;=0,"",VLOOKUP(B148,country_opex,7,FALSE)/((S148*pax_cap*load_mid*ROUND(K148*L148*revleg_mid,0))-(((battery/range_nm)*D148*ROUND(K148*L148*revleg_mid,0)*VLOOKUP(B148,country_opex,3,FALSE))+V148+W148+X148+Y148+Z148)))</f>
        <v/>
      </c>
      <c r="AV148" s="43">
        <f>IF(((S148*pax_cap*load_full*ROUND(K148*L148*revleg_full,0))-(((battery/range_nm)*D148*ROUND(K148*L148*revleg_full,0)*VLOOKUP(B148,country_opex,3,FALSE))+V148+W148+X148+Y148+Z148))&lt;=0,"",VLOOKUP(B148,country_opex,7,FALSE)/((S148*pax_cap*load_full*ROUND(K148*L148*revleg_full,0))-(((battery/range_nm)*D148*ROUND(K148*L148*revleg_full,0)*VLOOKUP(B148,country_opex,3,FALSE))+V148+W148+X148+Y148+Z148)))</f>
        <v/>
      </c>
      <c r="AW148" s="44" t="inlineStr">
        <is>
          <t>No passenger ferry on this 25nm cross-Gulf crossing today (everyone DRIVES the King Fahd Causeway). Premium per-seat cross-Gulf fast transfer modeled on Gulf premium intercity/business transfer tier -&gt; $80. R16 home-port opex = Saudi Arabia.</t>
        </is>
      </c>
      <c r="AX148" s="44" t="inlineStr">
        <is>
          <t>King Fahd Causeway carried a RECORD 33,000,000 passengers in 2024 (Gulf News; ~52,450/day, +7%/yr) - but that is ROAD traffic (R3 strong mode mismatch). Do NOT claim full causeway volume. Addressable premium MARINE subset only: modeled ~1% of 33M = ~330k/yr 1-way (time-sensitive premium travelers who'd pay for a fast boat vs causeway congestion).</t>
        </is>
      </c>
    </row>
    <row r="149">
      <c r="A149" s="29" t="inlineStr">
        <is>
          <t>Bolt Ksa Commercial</t>
        </is>
      </c>
      <c r="B149" s="29" t="inlineStr">
        <is>
          <t>Saudi Arabia</t>
        </is>
      </c>
      <c r="C149" s="30" t="inlineStr">
        <is>
          <t>The Red Sea → AMAALA (Triple Bay)</t>
        </is>
      </c>
      <c r="D149" s="31" t="n">
        <v>29.4</v>
      </c>
      <c r="E149" s="26" t="n">
        <v>250</v>
      </c>
      <c r="F149" s="32" t="inlineStr">
        <is>
          <t>T5</t>
        </is>
      </c>
      <c r="G149" s="32" t="inlineStr">
        <is>
          <t>low</t>
        </is>
      </c>
      <c r="H149" s="19" t="n">
        <v>1</v>
      </c>
      <c r="I149" s="33">
        <f>60*D149/cruise_kt</f>
        <v/>
      </c>
      <c r="J149" s="33">
        <f>I149+turn_min+dwell_min</f>
        <v/>
      </c>
      <c r="K149" s="34">
        <f>MIN(10,FLOOR(60*service_hr/J149,1))</f>
        <v/>
      </c>
      <c r="L149" s="34">
        <f>ROUND(365*mech_uptime*H149,0)</f>
        <v/>
      </c>
      <c r="M149" s="35">
        <f>mech_uptime</f>
        <v/>
      </c>
      <c r="N149" s="35">
        <f>revleg_sel</f>
        <v/>
      </c>
      <c r="O149" s="34">
        <f>ROUND(K149*L149*revleg_sel,0)</f>
        <v/>
      </c>
      <c r="P149" s="36">
        <f>load_sel</f>
        <v/>
      </c>
      <c r="Q149" s="36">
        <f>pax_cap*P149</f>
        <v/>
      </c>
      <c r="R149" s="34">
        <f>Q149*O149</f>
        <v/>
      </c>
      <c r="S149" s="37">
        <f>E149*discount</f>
        <v/>
      </c>
      <c r="T149" s="38">
        <f>S149*R149</f>
        <v/>
      </c>
      <c r="U149" s="38">
        <f>(battery/range_nm)*D149*O149*VLOOKUP(B149,country_opex,3,FALSE)</f>
        <v/>
      </c>
      <c r="V149" s="38">
        <f>VLOOKUP(B149,country_opex,2,FALSE)*crew_factor</f>
        <v/>
      </c>
      <c r="W149" s="38">
        <f>VLOOKUP(B149,country_opex,5,FALSE)</f>
        <v/>
      </c>
      <c r="X149" s="38">
        <f>maint</f>
        <v/>
      </c>
      <c r="Y149" s="38">
        <f>VLOOKUP(B149,country_opex,7,FALSE)*ins_pct</f>
        <v/>
      </c>
      <c r="Z149" s="38">
        <f>charge_berth</f>
        <v/>
      </c>
      <c r="AA149" s="38">
        <f>U149+V149+W149+X149+Y149+Z149</f>
        <v/>
      </c>
      <c r="AB149" s="38">
        <f>VLOOKUP(B149,country_opex,7,FALSE)/dep_years</f>
        <v/>
      </c>
      <c r="AC149" s="38">
        <f>T149-AA149</f>
        <v/>
      </c>
      <c r="AD149" s="35">
        <f>IF(T149=0,"",AC149/T149)</f>
        <v/>
      </c>
      <c r="AE149" s="36">
        <f>IF(AC149&lt;=0,"",VLOOKUP(B149,country_opex,7,FALSE)/AC149)</f>
        <v/>
      </c>
      <c r="AF149" s="33">
        <f>((D149*O149/diesel_nmpg)*diesel_co2pg-(battery/range_nm)*D149*O149*VLOOKUP(B149,country_opex,4,FALSE))/1000</f>
        <v/>
      </c>
      <c r="AG149" s="31" t="n">
        <v>500000</v>
      </c>
      <c r="AH149" s="32" t="inlineStr">
        <is>
          <t>T4</t>
        </is>
      </c>
      <c r="AI149" s="32" t="inlineStr">
        <is>
          <t>low</t>
        </is>
      </c>
      <c r="AJ149" s="39" t="n">
        <v>0.1</v>
      </c>
      <c r="AK149" s="34">
        <f>IF(AG149="","",AG149*AJ149)</f>
        <v/>
      </c>
      <c r="AL149" s="34">
        <f>IF(OR(AG149="",R149=0),"",MIN(IF(AS149="",9.9E+99,AS149),FLOOR(AK149/R149,1)))</f>
        <v/>
      </c>
      <c r="AM149" s="38">
        <f>IF(AL149="","",AL149*T149)</f>
        <v/>
      </c>
      <c r="AN149" s="36">
        <f>IF(OR(AG149="",R149=0),"",MIN(IF(AS149="",9.9E+99,AS149),AK149/R149))</f>
        <v/>
      </c>
      <c r="AO149" s="38">
        <f>IF(AN149="","",AN149*T149)</f>
        <v/>
      </c>
      <c r="AP149" s="40" t="n"/>
      <c r="AQ149" s="41" t="n"/>
      <c r="AR149" s="41" t="n"/>
      <c r="AS149" s="42" t="n"/>
      <c r="AT149" s="43">
        <f>IF(((S149*pax_cap*load_thin*ROUND(K149*L149*revleg_thin,0))-(((battery/range_nm)*D149*ROUND(K149*L149*revleg_thin,0)*VLOOKUP(B149,country_opex,3,FALSE))+V149+W149+X149+Y149+Z149))&lt;=0,"",VLOOKUP(B149,country_opex,7,FALSE)/((S149*pax_cap*load_thin*ROUND(K149*L149*revleg_thin,0))-(((battery/range_nm)*D149*ROUND(K149*L149*revleg_thin,0)*VLOOKUP(B149,country_opex,3,FALSE))+V149+W149+X149+Y149+Z149)))</f>
        <v/>
      </c>
      <c r="AU149" s="43">
        <f>IF(((S149*pax_cap*load_mid*ROUND(K149*L149*revleg_mid,0))-(((battery/range_nm)*D149*ROUND(K149*L149*revleg_mid,0)*VLOOKUP(B149,country_opex,3,FALSE))+V149+W149+X149+Y149+Z149))&lt;=0,"",VLOOKUP(B149,country_opex,7,FALSE)/((S149*pax_cap*load_mid*ROUND(K149*L149*revleg_mid,0))-(((battery/range_nm)*D149*ROUND(K149*L149*revleg_mid,0)*VLOOKUP(B149,country_opex,3,FALSE))+V149+W149+X149+Y149+Z149)))</f>
        <v/>
      </c>
      <c r="AV149" s="43">
        <f>IF(((S149*pax_cap*load_full*ROUND(K149*L149*revleg_full,0))-(((battery/range_nm)*D149*ROUND(K149*L149*revleg_full,0)*VLOOKUP(B149,country_opex,3,FALSE))+V149+W149+X149+Y149+Z149))&lt;=0,"",VLOOKUP(B149,country_opex,7,FALSE)/((S149*pax_cap*load_full*ROUND(K149*L149*revleg_full,0))-(((battery/range_nm)*D149*ROUND(K149*L149*revleg_full,0)*VLOOKUP(B149,country_opex,3,FALSE))+V149+W149+X149+Y149+Z149)))</f>
        <v/>
      </c>
      <c r="AW149" s="44" t="inlineStr">
        <is>
          <t>80nm luxury inter-destination leg - flight/seaplane-substituted (R12). Anchored on Maldives seaplane tier ($300-600 RT ~ $200-300 1-way) -&gt; premium per-seat ~$250. Held-out Quanta-LR roadmap leg.</t>
        </is>
      </c>
      <c r="AX149" s="44" t="inlineStr">
        <is>
          <t>AMAALA target ~500k/yr (The Red Sea + AMAALA combined aim ~1.5M visitors/yr; The Red Sea =1M -&gt; AMAALA ~0.5M). AMAALA full completion ~3,900 keys / up to 29-30 resorts (Four Seasons/RSG). Inter-destination transfer is a small subset; recorded AMAALA pool proxy low conf. Held-out leg.</t>
        </is>
      </c>
    </row>
    <row r="150">
      <c r="A150" s="29" t="inlineStr">
        <is>
          <t>Bolt Ksa Commercial</t>
        </is>
      </c>
      <c r="B150" s="29" t="inlineStr">
        <is>
          <t>Saudi Arabia</t>
        </is>
      </c>
      <c r="C150" s="30" t="inlineStr">
        <is>
          <t>NEOM — Sindalah → Magna / Oxagon coast</t>
        </is>
      </c>
      <c r="D150" s="31" t="n">
        <v>30.8</v>
      </c>
      <c r="E150" s="26" t="n">
        <v>120</v>
      </c>
      <c r="F150" s="32" t="inlineStr">
        <is>
          <t>T5</t>
        </is>
      </c>
      <c r="G150" s="32" t="inlineStr">
        <is>
          <t>low</t>
        </is>
      </c>
      <c r="H150" s="19" t="n">
        <v>1</v>
      </c>
      <c r="I150" s="33">
        <f>60*D150/cruise_kt</f>
        <v/>
      </c>
      <c r="J150" s="33">
        <f>I150+turn_min+dwell_min</f>
        <v/>
      </c>
      <c r="K150" s="34">
        <f>MIN(10,FLOOR(60*service_hr/J150,1))</f>
        <v/>
      </c>
      <c r="L150" s="34">
        <f>ROUND(365*mech_uptime*H150,0)</f>
        <v/>
      </c>
      <c r="M150" s="35">
        <f>mech_uptime</f>
        <v/>
      </c>
      <c r="N150" s="35">
        <f>revleg_sel</f>
        <v/>
      </c>
      <c r="O150" s="34">
        <f>ROUND(K150*L150*revleg_sel,0)</f>
        <v/>
      </c>
      <c r="P150" s="36">
        <f>load_sel</f>
        <v/>
      </c>
      <c r="Q150" s="36">
        <f>pax_cap*P150</f>
        <v/>
      </c>
      <c r="R150" s="34">
        <f>Q150*O150</f>
        <v/>
      </c>
      <c r="S150" s="37">
        <f>E150*discount</f>
        <v/>
      </c>
      <c r="T150" s="38">
        <f>S150*R150</f>
        <v/>
      </c>
      <c r="U150" s="38">
        <f>(battery/range_nm)*D150*O150*VLOOKUP(B150,country_opex,3,FALSE)</f>
        <v/>
      </c>
      <c r="V150" s="38">
        <f>VLOOKUP(B150,country_opex,2,FALSE)*crew_factor</f>
        <v/>
      </c>
      <c r="W150" s="38">
        <f>VLOOKUP(B150,country_opex,5,FALSE)</f>
        <v/>
      </c>
      <c r="X150" s="38">
        <f>maint</f>
        <v/>
      </c>
      <c r="Y150" s="38">
        <f>VLOOKUP(B150,country_opex,7,FALSE)*ins_pct</f>
        <v/>
      </c>
      <c r="Z150" s="38">
        <f>charge_berth</f>
        <v/>
      </c>
      <c r="AA150" s="38">
        <f>U150+V150+W150+X150+Y150+Z150</f>
        <v/>
      </c>
      <c r="AB150" s="38">
        <f>VLOOKUP(B150,country_opex,7,FALSE)/dep_years</f>
        <v/>
      </c>
      <c r="AC150" s="38">
        <f>T150-AA150</f>
        <v/>
      </c>
      <c r="AD150" s="35">
        <f>IF(T150=0,"",AC150/T150)</f>
        <v/>
      </c>
      <c r="AE150" s="36">
        <f>IF(AC150&lt;=0,"",VLOOKUP(B150,country_opex,7,FALSE)/AC150)</f>
        <v/>
      </c>
      <c r="AF150" s="33">
        <f>((D150*O150/diesel_nmpg)*diesel_co2pg-(battery/range_nm)*D150*O150*VLOOKUP(B150,country_opex,4,FALSE))/1000</f>
        <v/>
      </c>
      <c r="AG150" s="31" t="n">
        <v>250000</v>
      </c>
      <c r="AH150" s="32" t="inlineStr">
        <is>
          <t>T2</t>
        </is>
      </c>
      <c r="AI150" s="32" t="inlineStr">
        <is>
          <t>low</t>
        </is>
      </c>
      <c r="AJ150" s="39" t="n">
        <v>0.1</v>
      </c>
      <c r="AK150" s="34">
        <f>IF(AG150="","",AG150*AJ150)</f>
        <v/>
      </c>
      <c r="AL150" s="34">
        <f>IF(OR(AG150="",R150=0),"",MIN(IF(AS150="",9.9E+99,AS150),FLOOR(AK150/R150,1)))</f>
        <v/>
      </c>
      <c r="AM150" s="38">
        <f>IF(AL150="","",AL150*T150)</f>
        <v/>
      </c>
      <c r="AN150" s="36">
        <f>IF(OR(AG150="",R150=0),"",MIN(IF(AS150="",9.9E+99,AS150),AK150/R150))</f>
        <v/>
      </c>
      <c r="AO150" s="38">
        <f>IF(AN150="","",AN150*T150)</f>
        <v/>
      </c>
      <c r="AP150" s="40" t="n"/>
      <c r="AQ150" s="41" t="n"/>
      <c r="AR150" s="41" t="n"/>
      <c r="AS150" s="42" t="n"/>
      <c r="AT150" s="43">
        <f>IF(((S150*pax_cap*load_thin*ROUND(K150*L150*revleg_thin,0))-(((battery/range_nm)*D150*ROUND(K150*L150*revleg_thin,0)*VLOOKUP(B150,country_opex,3,FALSE))+V150+W150+X150+Y150+Z150))&lt;=0,"",VLOOKUP(B150,country_opex,7,FALSE)/((S150*pax_cap*load_thin*ROUND(K150*L150*revleg_thin,0))-(((battery/range_nm)*D150*ROUND(K150*L150*revleg_thin,0)*VLOOKUP(B150,country_opex,3,FALSE))+V150+W150+X150+Y150+Z150)))</f>
        <v/>
      </c>
      <c r="AU150" s="43">
        <f>IF(((S150*pax_cap*load_mid*ROUND(K150*L150*revleg_mid,0))-(((battery/range_nm)*D150*ROUND(K150*L150*revleg_mid,0)*VLOOKUP(B150,country_opex,3,FALSE))+V150+W150+X150+Y150+Z150))&lt;=0,"",VLOOKUP(B150,country_opex,7,FALSE)/((S150*pax_cap*load_mid*ROUND(K150*L150*revleg_mid,0))-(((battery/range_nm)*D150*ROUND(K150*L150*revleg_mid,0)*VLOOKUP(B150,country_opex,3,FALSE))+V150+W150+X150+Y150+Z150)))</f>
        <v/>
      </c>
      <c r="AV150" s="43">
        <f>IF(((S150*pax_cap*load_full*ROUND(K150*L150*revleg_full,0))-(((battery/range_nm)*D150*ROUND(K150*L150*revleg_full,0)*VLOOKUP(B150,country_opex,3,FALSE))+V150+W150+X150+Y150+Z150))&lt;=0,"",VLOOKUP(B150,country_opex,7,FALSE)/((S150*pax_cap*load_full*ROUND(K150*L150*revleg_full,0))-(((battery/range_nm)*D150*ROUND(K150*L150*revleg_full,0)*VLOOKUP(B150,country_opex,3,FALSE))+V150+W150+X150+Y150+Z150)))</f>
        <v/>
      </c>
      <c r="AW150" s="44" t="inlineStr">
        <is>
          <t>Sindalah is an ultra-premium yachting island (413-440 hotel rooms, 86-berth marina). NEOM inter-zone premium per-seat transfer modeled on Maldives/yacht-hub premium speedboat tier -&gt; $120.</t>
        </is>
      </c>
      <c r="AX150" s="44" t="inlineStr">
        <is>
          <t>NEOM Sindalah target: up to 2,400 guests/day by 2028 (NEOM official; Dezeen; Wikipedia) = ~876,000 guest-days/yr capacity; at ~3-4 night avg stay ~= ~250k arrivals/yr. Sindalah-&gt;Magna/Oxagon inter-zone transit is a SUBSET (R3) - recorded full Sindalah arrival proxy ~250k, low conf (not all transit to Magna/Oxagon).</t>
        </is>
      </c>
    </row>
    <row r="151">
      <c r="A151" s="29" t="inlineStr">
        <is>
          <t>Bolt Spain</t>
        </is>
      </c>
      <c r="B151" s="29" t="inlineStr">
        <is>
          <t>Spain</t>
        </is>
      </c>
      <c r="C151" s="30" t="inlineStr">
        <is>
          <t>L'Estartit → Illes Medes</t>
        </is>
      </c>
      <c r="D151" s="31" t="n">
        <v>0.8</v>
      </c>
      <c r="E151" s="26" t="n">
        <v>27</v>
      </c>
      <c r="F151" s="32" t="inlineStr">
        <is>
          <t>T2</t>
        </is>
      </c>
      <c r="G151" s="32" t="inlineStr">
        <is>
          <t>med</t>
        </is>
      </c>
      <c r="H151" s="19" t="n">
        <v>1</v>
      </c>
      <c r="I151" s="33">
        <f>60*D151/cruise_kt</f>
        <v/>
      </c>
      <c r="J151" s="33">
        <f>I151+turn_min+dwell_min</f>
        <v/>
      </c>
      <c r="K151" s="34">
        <f>MIN(10,FLOOR(60*service_hr/J151,1))</f>
        <v/>
      </c>
      <c r="L151" s="34">
        <f>ROUND(365*mech_uptime*H151,0)</f>
        <v/>
      </c>
      <c r="M151" s="35">
        <f>mech_uptime</f>
        <v/>
      </c>
      <c r="N151" s="35">
        <f>revleg_sel</f>
        <v/>
      </c>
      <c r="O151" s="34">
        <f>ROUND(K151*L151*revleg_sel,0)</f>
        <v/>
      </c>
      <c r="P151" s="36">
        <f>load_sel</f>
        <v/>
      </c>
      <c r="Q151" s="36">
        <f>pax_cap*P151</f>
        <v/>
      </c>
      <c r="R151" s="34">
        <f>Q151*O151</f>
        <v/>
      </c>
      <c r="S151" s="37">
        <f>E151*discount</f>
        <v/>
      </c>
      <c r="T151" s="38">
        <f>S151*R151</f>
        <v/>
      </c>
      <c r="U151" s="38">
        <f>(battery/range_nm)*D151*O151*VLOOKUP(B151,country_opex,3,FALSE)</f>
        <v/>
      </c>
      <c r="V151" s="38">
        <f>VLOOKUP(B151,country_opex,2,FALSE)*crew_factor</f>
        <v/>
      </c>
      <c r="W151" s="38">
        <f>VLOOKUP(B151,country_opex,5,FALSE)</f>
        <v/>
      </c>
      <c r="X151" s="38">
        <f>maint</f>
        <v/>
      </c>
      <c r="Y151" s="38">
        <f>VLOOKUP(B151,country_opex,7,FALSE)*ins_pct</f>
        <v/>
      </c>
      <c r="Z151" s="38">
        <f>charge_berth</f>
        <v/>
      </c>
      <c r="AA151" s="38">
        <f>U151+V151+W151+X151+Y151+Z151</f>
        <v/>
      </c>
      <c r="AB151" s="38">
        <f>VLOOKUP(B151,country_opex,7,FALSE)/dep_years</f>
        <v/>
      </c>
      <c r="AC151" s="38">
        <f>T151-AA151</f>
        <v/>
      </c>
      <c r="AD151" s="35">
        <f>IF(T151=0,"",AC151/T151)</f>
        <v/>
      </c>
      <c r="AE151" s="36">
        <f>IF(AC151&lt;=0,"",VLOOKUP(B151,country_opex,7,FALSE)/AC151)</f>
        <v/>
      </c>
      <c r="AF151" s="33">
        <f>((D151*O151/diesel_nmpg)*diesel_co2pg-(battery/range_nm)*D151*O151*VLOOKUP(B151,country_opex,4,FALSE))/1000</f>
        <v/>
      </c>
      <c r="AG151" s="31" t="n"/>
      <c r="AH151" s="32" t="n"/>
      <c r="AI151" s="32" t="n"/>
      <c r="AJ151" s="39" t="n">
        <v>0.1</v>
      </c>
      <c r="AK151" s="34">
        <f>IF(AG151="","",AG151*AJ151)</f>
        <v/>
      </c>
      <c r="AL151" s="34">
        <f>IF(OR(AG151="",R151=0),"",MIN(IF(AS151="",9.9E+99,AS151),FLOOR(AK151/R151,1)))</f>
        <v/>
      </c>
      <c r="AM151" s="38">
        <f>IF(AL151="","",AL151*T151)</f>
        <v/>
      </c>
      <c r="AN151" s="36">
        <f>IF(OR(AG151="",R151=0),"",MIN(IF(AS151="",9.9E+99,AS151),AK151/R151))</f>
        <v/>
      </c>
      <c r="AO151" s="38">
        <f>IF(AN151="","",AN151*T151)</f>
        <v/>
      </c>
      <c r="AP151" s="40" t="n"/>
      <c r="AQ151" s="41" t="n"/>
      <c r="AR151" s="41" t="n"/>
      <c r="AS151" s="42" t="n"/>
      <c r="AT151" s="43">
        <f>IF(((S151*pax_cap*load_thin*ROUND(K151*L151*revleg_thin,0))-(((battery/range_nm)*D151*ROUND(K151*L151*revleg_thin,0)*VLOOKUP(B151,country_opex,3,FALSE))+V151+W151+X151+Y151+Z151))&lt;=0,"",VLOOKUP(B151,country_opex,7,FALSE)/((S151*pax_cap*load_thin*ROUND(K151*L151*revleg_thin,0))-(((battery/range_nm)*D151*ROUND(K151*L151*revleg_thin,0)*VLOOKUP(B151,country_opex,3,FALSE))+V151+W151+X151+Y151+Z151)))</f>
        <v/>
      </c>
      <c r="AU151" s="43">
        <f>IF(((S151*pax_cap*load_mid*ROUND(K151*L151*revleg_mid,0))-(((battery/range_nm)*D151*ROUND(K151*L151*revleg_mid,0)*VLOOKUP(B151,country_opex,3,FALSE))+V151+W151+X151+Y151+Z151))&lt;=0,"",VLOOKUP(B151,country_opex,7,FALSE)/((S151*pax_cap*load_mid*ROUND(K151*L151*revleg_mid,0))-(((battery/range_nm)*D151*ROUND(K151*L151*revleg_mid,0)*VLOOKUP(B151,country_opex,3,FALSE))+V151+W151+X151+Y151+Z151)))</f>
        <v/>
      </c>
      <c r="AV151" s="43">
        <f>IF(((S151*pax_cap*load_full*ROUND(K151*L151*revleg_full,0))-(((battery/range_nm)*D151*ROUND(K151*L151*revleg_full,0)*VLOOKUP(B151,country_opex,3,FALSE))+V151+W151+X151+Y151+Z151))&lt;=0,"",VLOOKUP(B151,country_opex,7,FALSE)/((S151*pax_cap*load_full*ROUND(K151*L151*revleg_full,0))-(((battery/range_nm)*D151*ROUND(K151*L151*revleg_full,0)*VLOOKUP(B151,country_opex,3,FALSE))+V151+W151+X151+Y151+Z151)))</f>
        <v/>
      </c>
      <c r="AW151" s="44" t="inlineStr">
        <is>
          <t>PREMIUM tier: L'Estartit-&gt;Illes Medes glass-bottom / snorkel boat ~EUR 25 (Dofi/Xaloc/local operators) x 1.08 = ~$27. RANGED (excursion products EUR 20-40 depending on snorkel/dive inclusion), flagged.</t>
        </is>
      </c>
      <c r="AX151" s="44" t="n"/>
    </row>
    <row r="152">
      <c r="A152" s="29" t="inlineStr">
        <is>
          <t>Bolt Spain</t>
        </is>
      </c>
      <c r="B152" s="29" t="inlineStr">
        <is>
          <t>Spain</t>
        </is>
      </c>
      <c r="C152" s="30" t="inlineStr">
        <is>
          <t>Marbella → Puerto Banús</t>
        </is>
      </c>
      <c r="D152" s="31" t="n">
        <v>3.5</v>
      </c>
      <c r="E152" s="26" t="n">
        <v>11.9</v>
      </c>
      <c r="F152" s="32" t="inlineStr">
        <is>
          <t>T2</t>
        </is>
      </c>
      <c r="G152" s="32" t="inlineStr">
        <is>
          <t>med</t>
        </is>
      </c>
      <c r="H152" s="19" t="n">
        <v>1</v>
      </c>
      <c r="I152" s="33">
        <f>60*D152/cruise_kt</f>
        <v/>
      </c>
      <c r="J152" s="33">
        <f>I152+turn_min+dwell_min</f>
        <v/>
      </c>
      <c r="K152" s="34">
        <f>MIN(16,FLOOR(60*service_hr/J152,1))</f>
        <v/>
      </c>
      <c r="L152" s="34">
        <f>ROUND(365*mech_uptime*H152,0)</f>
        <v/>
      </c>
      <c r="M152" s="35">
        <f>mech_uptime</f>
        <v/>
      </c>
      <c r="N152" s="35">
        <f>revleg_sel</f>
        <v/>
      </c>
      <c r="O152" s="34">
        <f>ROUND(K152*L152*revleg_sel,0)</f>
        <v/>
      </c>
      <c r="P152" s="36">
        <f>load_sel</f>
        <v/>
      </c>
      <c r="Q152" s="36">
        <f>pax_cap*P152</f>
        <v/>
      </c>
      <c r="R152" s="34">
        <f>Q152*O152</f>
        <v/>
      </c>
      <c r="S152" s="37">
        <f>E152*discount</f>
        <v/>
      </c>
      <c r="T152" s="38">
        <f>S152*R152</f>
        <v/>
      </c>
      <c r="U152" s="38">
        <f>(battery/range_nm)*D152*O152*VLOOKUP(B152,country_opex,3,FALSE)</f>
        <v/>
      </c>
      <c r="V152" s="38">
        <f>VLOOKUP(B152,country_opex,2,FALSE)*crew_factor</f>
        <v/>
      </c>
      <c r="W152" s="38">
        <f>VLOOKUP(B152,country_opex,5,FALSE)</f>
        <v/>
      </c>
      <c r="X152" s="38">
        <f>maint</f>
        <v/>
      </c>
      <c r="Y152" s="38">
        <f>VLOOKUP(B152,country_opex,7,FALSE)*ins_pct</f>
        <v/>
      </c>
      <c r="Z152" s="38">
        <f>charge_berth</f>
        <v/>
      </c>
      <c r="AA152" s="38">
        <f>U152+V152+W152+X152+Y152+Z152</f>
        <v/>
      </c>
      <c r="AB152" s="38">
        <f>VLOOKUP(B152,country_opex,7,FALSE)/dep_years</f>
        <v/>
      </c>
      <c r="AC152" s="38">
        <f>T152-AA152</f>
        <v/>
      </c>
      <c r="AD152" s="35">
        <f>IF(T152=0,"",AC152/T152)</f>
        <v/>
      </c>
      <c r="AE152" s="36">
        <f>IF(AC152&lt;=0,"",VLOOKUP(B152,country_opex,7,FALSE)/AC152)</f>
        <v/>
      </c>
      <c r="AF152" s="33">
        <f>((D152*O152/diesel_nmpg)*diesel_co2pg-(battery/range_nm)*D152*O152*VLOOKUP(B152,country_opex,4,FALSE))/1000</f>
        <v/>
      </c>
      <c r="AG152" s="31" t="n">
        <v>36000</v>
      </c>
      <c r="AH152" s="32" t="n"/>
      <c r="AI152" s="32" t="n"/>
      <c r="AJ152" s="39" t="n">
        <v>0.1</v>
      </c>
      <c r="AK152" s="34">
        <f>IF(AG152="","",AG152*AJ152)</f>
        <v/>
      </c>
      <c r="AL152" s="34">
        <f>IF(OR(AG152="",R152=0),"",MIN(IF(AS152="",9.9E+99,AS152),FLOOR(AK152/R152,1)))</f>
        <v/>
      </c>
      <c r="AM152" s="38">
        <f>IF(AL152="","",AL152*T152)</f>
        <v/>
      </c>
      <c r="AN152" s="36">
        <f>IF(OR(AG152="",R152=0),"",MIN(IF(AS152="",9.9E+99,AS152),AK152/R152))</f>
        <v/>
      </c>
      <c r="AO152" s="38">
        <f>IF(AN152="","",AN152*T152)</f>
        <v/>
      </c>
      <c r="AP152" s="40" t="n"/>
      <c r="AQ152" s="41" t="n"/>
      <c r="AR152" s="41" t="n"/>
      <c r="AS152" s="42" t="n"/>
      <c r="AT152" s="43">
        <f>IF(((S152*pax_cap*load_thin*ROUND(K152*L152*revleg_thin,0))-(((battery/range_nm)*D152*ROUND(K152*L152*revleg_thin,0)*VLOOKUP(B152,country_opex,3,FALSE))+V152+W152+X152+Y152+Z152))&lt;=0,"",VLOOKUP(B152,country_opex,7,FALSE)/((S152*pax_cap*load_thin*ROUND(K152*L152*revleg_thin,0))-(((battery/range_nm)*D152*ROUND(K152*L152*revleg_thin,0)*VLOOKUP(B152,country_opex,3,FALSE))+V152+W152+X152+Y152+Z152)))</f>
        <v/>
      </c>
      <c r="AU152" s="43">
        <f>IF(((S152*pax_cap*load_mid*ROUND(K152*L152*revleg_mid,0))-(((battery/range_nm)*D152*ROUND(K152*L152*revleg_mid,0)*VLOOKUP(B152,country_opex,3,FALSE))+V152+W152+X152+Y152+Z152))&lt;=0,"",VLOOKUP(B152,country_opex,7,FALSE)/((S152*pax_cap*load_mid*ROUND(K152*L152*revleg_mid,0))-(((battery/range_nm)*D152*ROUND(K152*L152*revleg_mid,0)*VLOOKUP(B152,country_opex,3,FALSE))+V152+W152+X152+Y152+Z152)))</f>
        <v/>
      </c>
      <c r="AV152" s="43">
        <f>IF(((S152*pax_cap*load_full*ROUND(K152*L152*revleg_full,0))-(((battery/range_nm)*D152*ROUND(K152*L152*revleg_full,0)*VLOOKUP(B152,country_opex,3,FALSE))+V152+W152+X152+Y152+Z152))&lt;=0,"",VLOOKUP(B152,country_opex,7,FALSE)/((S152*pax_cap*load_full*ROUND(K152*L152*revleg_full,0))-(((battery/range_nm)*D152*ROUND(K152*L152*revleg_full,0)*VLOOKUP(B152,country_opex,3,FALSE))+V152+W152+X152+Y152+Z152)))</f>
        <v/>
      </c>
      <c r="AW152" s="44" t="inlineStr">
        <is>
          <t>PREMIUM tier: Fly Blue catamaran Marbella&lt;-&gt;Puerto Banús ~EUR 11 one-way (traveller reports EUR 11 one-way; ~30 min) x 1.08 = ~$11.9. Short hop, inexpensive premium tier.</t>
        </is>
      </c>
      <c r="AX152" s="44" t="n"/>
    </row>
    <row r="153">
      <c r="A153" s="29" t="inlineStr">
        <is>
          <t>Bolt Spain</t>
        </is>
      </c>
      <c r="B153" s="29" t="inlineStr">
        <is>
          <t>Spain</t>
        </is>
      </c>
      <c r="C153" s="30" t="inlineStr">
        <is>
          <t>Lloret de Mar → Tossa de Mar</t>
        </is>
      </c>
      <c r="D153" s="31" t="n">
        <v>4</v>
      </c>
      <c r="E153" s="26" t="n">
        <v>20</v>
      </c>
      <c r="F153" s="32" t="inlineStr">
        <is>
          <t>T2</t>
        </is>
      </c>
      <c r="G153" s="32" t="inlineStr">
        <is>
          <t>med</t>
        </is>
      </c>
      <c r="H153" s="19" t="n">
        <v>1</v>
      </c>
      <c r="I153" s="33">
        <f>60*D153/cruise_kt</f>
        <v/>
      </c>
      <c r="J153" s="33">
        <f>I153+turn_min+dwell_min</f>
        <v/>
      </c>
      <c r="K153" s="34">
        <f>MIN(16,FLOOR(60*service_hr/J153,1))</f>
        <v/>
      </c>
      <c r="L153" s="34">
        <f>ROUND(365*mech_uptime*H153,0)</f>
        <v/>
      </c>
      <c r="M153" s="35">
        <f>mech_uptime</f>
        <v/>
      </c>
      <c r="N153" s="35">
        <f>revleg_sel</f>
        <v/>
      </c>
      <c r="O153" s="34">
        <f>ROUND(K153*L153*revleg_sel,0)</f>
        <v/>
      </c>
      <c r="P153" s="36">
        <f>load_sel</f>
        <v/>
      </c>
      <c r="Q153" s="36">
        <f>pax_cap*P153</f>
        <v/>
      </c>
      <c r="R153" s="34">
        <f>Q153*O153</f>
        <v/>
      </c>
      <c r="S153" s="37">
        <f>E153*discount</f>
        <v/>
      </c>
      <c r="T153" s="38">
        <f>S153*R153</f>
        <v/>
      </c>
      <c r="U153" s="38">
        <f>(battery/range_nm)*D153*O153*VLOOKUP(B153,country_opex,3,FALSE)</f>
        <v/>
      </c>
      <c r="V153" s="38">
        <f>VLOOKUP(B153,country_opex,2,FALSE)*crew_factor</f>
        <v/>
      </c>
      <c r="W153" s="38">
        <f>VLOOKUP(B153,country_opex,5,FALSE)</f>
        <v/>
      </c>
      <c r="X153" s="38">
        <f>maint</f>
        <v/>
      </c>
      <c r="Y153" s="38">
        <f>VLOOKUP(B153,country_opex,7,FALSE)*ins_pct</f>
        <v/>
      </c>
      <c r="Z153" s="38">
        <f>charge_berth</f>
        <v/>
      </c>
      <c r="AA153" s="38">
        <f>U153+V153+W153+X153+Y153+Z153</f>
        <v/>
      </c>
      <c r="AB153" s="38">
        <f>VLOOKUP(B153,country_opex,7,FALSE)/dep_years</f>
        <v/>
      </c>
      <c r="AC153" s="38">
        <f>T153-AA153</f>
        <v/>
      </c>
      <c r="AD153" s="35">
        <f>IF(T153=0,"",AC153/T153)</f>
        <v/>
      </c>
      <c r="AE153" s="36">
        <f>IF(AC153&lt;=0,"",VLOOKUP(B153,country_opex,7,FALSE)/AC153)</f>
        <v/>
      </c>
      <c r="AF153" s="33">
        <f>((D153*O153/diesel_nmpg)*diesel_co2pg-(battery/range_nm)*D153*O153*VLOOKUP(B153,country_opex,4,FALSE))/1000</f>
        <v/>
      </c>
      <c r="AG153" s="31" t="n">
        <v>112000</v>
      </c>
      <c r="AH153" s="32" t="n"/>
      <c r="AI153" s="32" t="n"/>
      <c r="AJ153" s="39" t="n">
        <v>0.1</v>
      </c>
      <c r="AK153" s="34">
        <f>IF(AG153="","",AG153*AJ153)</f>
        <v/>
      </c>
      <c r="AL153" s="34">
        <f>IF(OR(AG153="",R153=0),"",MIN(IF(AS153="",9.9E+99,AS153),FLOOR(AK153/R153,1)))</f>
        <v/>
      </c>
      <c r="AM153" s="38">
        <f>IF(AL153="","",AL153*T153)</f>
        <v/>
      </c>
      <c r="AN153" s="36">
        <f>IF(OR(AG153="",R153=0),"",MIN(IF(AS153="",9.9E+99,AS153),AK153/R153))</f>
        <v/>
      </c>
      <c r="AO153" s="38">
        <f>IF(AN153="","",AN153*T153)</f>
        <v/>
      </c>
      <c r="AP153" s="40" t="n"/>
      <c r="AQ153" s="41" t="n"/>
      <c r="AR153" s="41" t="n"/>
      <c r="AS153" s="42" t="n"/>
      <c r="AT153" s="43">
        <f>IF(((S153*pax_cap*load_thin*ROUND(K153*L153*revleg_thin,0))-(((battery/range_nm)*D153*ROUND(K153*L153*revleg_thin,0)*VLOOKUP(B153,country_opex,3,FALSE))+V153+W153+X153+Y153+Z153))&lt;=0,"",VLOOKUP(B153,country_opex,7,FALSE)/((S153*pax_cap*load_thin*ROUND(K153*L153*revleg_thin,0))-(((battery/range_nm)*D153*ROUND(K153*L153*revleg_thin,0)*VLOOKUP(B153,country_opex,3,FALSE))+V153+W153+X153+Y153+Z153)))</f>
        <v/>
      </c>
      <c r="AU153" s="43">
        <f>IF(((S153*pax_cap*load_mid*ROUND(K153*L153*revleg_mid,0))-(((battery/range_nm)*D153*ROUND(K153*L153*revleg_mid,0)*VLOOKUP(B153,country_opex,3,FALSE))+V153+W153+X153+Y153+Z153))&lt;=0,"",VLOOKUP(B153,country_opex,7,FALSE)/((S153*pax_cap*load_mid*ROUND(K153*L153*revleg_mid,0))-(((battery/range_nm)*D153*ROUND(K153*L153*revleg_mid,0)*VLOOKUP(B153,country_opex,3,FALSE))+V153+W153+X153+Y153+Z153)))</f>
        <v/>
      </c>
      <c r="AV153" s="43">
        <f>IF(((S153*pax_cap*load_full*ROUND(K153*L153*revleg_full,0))-(((battery/range_nm)*D153*ROUND(K153*L153*revleg_full,0)*VLOOKUP(B153,country_opex,3,FALSE))+V153+W153+X153+Y153+Z153))&lt;=0,"",VLOOKUP(B153,country_opex,7,FALSE)/((S153*pax_cap*load_full*ROUND(K153*L153*revleg_full,0))-(((battery/range_nm)*D153*ROUND(K153*L153*revleg_full,0)*VLOOKUP(B153,country_opex,3,FALSE))+V153+W153+X153+Y153+Z153)))</f>
        <v/>
      </c>
      <c r="AW153" s="44" t="inlineStr">
        <is>
          <t>PREMIUM tier proxy: Dofi Jet Boats Lloret&lt;-&gt;Tossa one-way ~EUR 18-19 (round-trip excursion product, ~EUR 30+; one-way ~half) x 1.08 = ~$20. RANGED estimate (operator advertises mainly round-trip), flagged.</t>
        </is>
      </c>
      <c r="AX153" s="44" t="n"/>
    </row>
    <row r="154">
      <c r="A154" s="29" t="inlineStr">
        <is>
          <t>Bolt Spain</t>
        </is>
      </c>
      <c r="B154" s="29" t="inlineStr">
        <is>
          <t>Spain</t>
        </is>
      </c>
      <c r="C154" s="30" t="inlineStr">
        <is>
          <t>Port de Sóller (Mallorca) → Sa Calobra / Torrent de Pareis (Mallorca)</t>
        </is>
      </c>
      <c r="D154" s="31" t="n">
        <v>9</v>
      </c>
      <c r="E154" s="26" t="n">
        <v>24.8</v>
      </c>
      <c r="F154" s="32" t="inlineStr">
        <is>
          <t>T2</t>
        </is>
      </c>
      <c r="G154" s="32" t="inlineStr">
        <is>
          <t>med</t>
        </is>
      </c>
      <c r="H154" s="19" t="n">
        <v>1</v>
      </c>
      <c r="I154" s="33">
        <f>60*D154/cruise_kt</f>
        <v/>
      </c>
      <c r="J154" s="33">
        <f>I154+turn_min+dwell_min</f>
        <v/>
      </c>
      <c r="K154" s="34">
        <f>MIN(10,FLOOR(60*service_hr/J154,1))</f>
        <v/>
      </c>
      <c r="L154" s="34">
        <f>ROUND(365*mech_uptime*H154,0)</f>
        <v/>
      </c>
      <c r="M154" s="35">
        <f>mech_uptime</f>
        <v/>
      </c>
      <c r="N154" s="35">
        <f>revleg_sel</f>
        <v/>
      </c>
      <c r="O154" s="34">
        <f>ROUND(K154*L154*revleg_sel,0)</f>
        <v/>
      </c>
      <c r="P154" s="36">
        <f>load_sel</f>
        <v/>
      </c>
      <c r="Q154" s="36">
        <f>pax_cap*P154</f>
        <v/>
      </c>
      <c r="R154" s="34">
        <f>Q154*O154</f>
        <v/>
      </c>
      <c r="S154" s="37">
        <f>E154*discount</f>
        <v/>
      </c>
      <c r="T154" s="38">
        <f>S154*R154</f>
        <v/>
      </c>
      <c r="U154" s="38">
        <f>(battery/range_nm)*D154*O154*VLOOKUP(B154,country_opex,3,FALSE)</f>
        <v/>
      </c>
      <c r="V154" s="38">
        <f>VLOOKUP(B154,country_opex,2,FALSE)*crew_factor</f>
        <v/>
      </c>
      <c r="W154" s="38">
        <f>VLOOKUP(B154,country_opex,5,FALSE)</f>
        <v/>
      </c>
      <c r="X154" s="38">
        <f>maint</f>
        <v/>
      </c>
      <c r="Y154" s="38">
        <f>VLOOKUP(B154,country_opex,7,FALSE)*ins_pct</f>
        <v/>
      </c>
      <c r="Z154" s="38">
        <f>charge_berth</f>
        <v/>
      </c>
      <c r="AA154" s="38">
        <f>U154+V154+W154+X154+Y154+Z154</f>
        <v/>
      </c>
      <c r="AB154" s="38">
        <f>VLOOKUP(B154,country_opex,7,FALSE)/dep_years</f>
        <v/>
      </c>
      <c r="AC154" s="38">
        <f>T154-AA154</f>
        <v/>
      </c>
      <c r="AD154" s="35">
        <f>IF(T154=0,"",AC154/T154)</f>
        <v/>
      </c>
      <c r="AE154" s="36">
        <f>IF(AC154&lt;=0,"",VLOOKUP(B154,country_opex,7,FALSE)/AC154)</f>
        <v/>
      </c>
      <c r="AF154" s="33">
        <f>((D154*O154/diesel_nmpg)*diesel_co2pg-(battery/range_nm)*D154*O154*VLOOKUP(B154,country_opex,4,FALSE))/1000</f>
        <v/>
      </c>
      <c r="AG154" s="31" t="n"/>
      <c r="AH154" s="32" t="n"/>
      <c r="AI154" s="32" t="n"/>
      <c r="AJ154" s="39" t="n">
        <v>0.1</v>
      </c>
      <c r="AK154" s="34">
        <f>IF(AG154="","",AG154*AJ154)</f>
        <v/>
      </c>
      <c r="AL154" s="34">
        <f>IF(OR(AG154="",R154=0),"",MIN(IF(AS154="",9.9E+99,AS154),FLOOR(AK154/R154,1)))</f>
        <v/>
      </c>
      <c r="AM154" s="38">
        <f>IF(AL154="","",AL154*T154)</f>
        <v/>
      </c>
      <c r="AN154" s="36">
        <f>IF(OR(AG154="",R154=0),"",MIN(IF(AS154="",9.9E+99,AS154),AK154/R154))</f>
        <v/>
      </c>
      <c r="AO154" s="38">
        <f>IF(AN154="","",AN154*T154)</f>
        <v/>
      </c>
      <c r="AP154" s="40" t="n"/>
      <c r="AQ154" s="41" t="n"/>
      <c r="AR154" s="41" t="n"/>
      <c r="AS154" s="42" t="n"/>
      <c r="AT154" s="43">
        <f>IF(((S154*pax_cap*load_thin*ROUND(K154*L154*revleg_thin,0))-(((battery/range_nm)*D154*ROUND(K154*L154*revleg_thin,0)*VLOOKUP(B154,country_opex,3,FALSE))+V154+W154+X154+Y154+Z154))&lt;=0,"",VLOOKUP(B154,country_opex,7,FALSE)/((S154*pax_cap*load_thin*ROUND(K154*L154*revleg_thin,0))-(((battery/range_nm)*D154*ROUND(K154*L154*revleg_thin,0)*VLOOKUP(B154,country_opex,3,FALSE))+V154+W154+X154+Y154+Z154)))</f>
        <v/>
      </c>
      <c r="AU154" s="43">
        <f>IF(((S154*pax_cap*load_mid*ROUND(K154*L154*revleg_mid,0))-(((battery/range_nm)*D154*ROUND(K154*L154*revleg_mid,0)*VLOOKUP(B154,country_opex,3,FALSE))+V154+W154+X154+Y154+Z154))&lt;=0,"",VLOOKUP(B154,country_opex,7,FALSE)/((S154*pax_cap*load_mid*ROUND(K154*L154*revleg_mid,0))-(((battery/range_nm)*D154*ROUND(K154*L154*revleg_mid,0)*VLOOKUP(B154,country_opex,3,FALSE))+V154+W154+X154+Y154+Z154)))</f>
        <v/>
      </c>
      <c r="AV154" s="43">
        <f>IF(((S154*pax_cap*load_full*ROUND(K154*L154*revleg_full,0))-(((battery/range_nm)*D154*ROUND(K154*L154*revleg_full,0)*VLOOKUP(B154,country_opex,3,FALSE))+V154+W154+X154+Y154+Z154))&lt;=0,"",VLOOKUP(B154,country_opex,7,FALSE)/((S154*pax_cap*load_full*ROUND(K154*L154*revleg_full,0))-(((battery/range_nm)*D154*ROUND(K154*L154*revleg_full,0)*VLOOKUP(B154,country_opex,3,FALSE))+V154+W154+X154+Y154+Z154)))</f>
        <v/>
      </c>
      <c r="AW154" s="44" t="inlineStr">
        <is>
          <t>PREMIUM tier: Barcos Azules Port de Sóller-&gt;Sa Calobra adult one-way (un trayecto) EUR 23 (2025/2026 tariff) x 1.08 = ~$24.8.</t>
        </is>
      </c>
      <c r="AX154" s="44" t="n"/>
    </row>
    <row r="155">
      <c r="A155" s="29" t="inlineStr">
        <is>
          <t>Bolt Spain</t>
        </is>
      </c>
      <c r="B155" s="29" t="inlineStr">
        <is>
          <t>Spain</t>
        </is>
      </c>
      <c r="C155" s="30" t="inlineStr">
        <is>
          <t>Ibiza Town (Eivissa) → Formentera (La Savina)</t>
        </is>
      </c>
      <c r="D155" s="31" t="n">
        <v>12</v>
      </c>
      <c r="E155" s="26" t="n">
        <v>28.6</v>
      </c>
      <c r="F155" s="32" t="inlineStr">
        <is>
          <t>T2</t>
        </is>
      </c>
      <c r="G155" s="32" t="inlineStr">
        <is>
          <t>med</t>
        </is>
      </c>
      <c r="H155" s="19" t="n">
        <v>1</v>
      </c>
      <c r="I155" s="33">
        <f>60*D155/cruise_kt</f>
        <v/>
      </c>
      <c r="J155" s="33">
        <f>I155+turn_min+dwell_min</f>
        <v/>
      </c>
      <c r="K155" s="34">
        <f>MIN(10,FLOOR(60*service_hr/J155,1))</f>
        <v/>
      </c>
      <c r="L155" s="34">
        <f>ROUND(365*mech_uptime*H155,0)</f>
        <v/>
      </c>
      <c r="M155" s="35">
        <f>mech_uptime</f>
        <v/>
      </c>
      <c r="N155" s="35">
        <f>revleg_sel</f>
        <v/>
      </c>
      <c r="O155" s="34">
        <f>ROUND(K155*L155*revleg_sel,0)</f>
        <v/>
      </c>
      <c r="P155" s="36">
        <f>load_sel</f>
        <v/>
      </c>
      <c r="Q155" s="36">
        <f>pax_cap*P155</f>
        <v/>
      </c>
      <c r="R155" s="34">
        <f>Q155*O155</f>
        <v/>
      </c>
      <c r="S155" s="37">
        <f>E155*discount</f>
        <v/>
      </c>
      <c r="T155" s="38">
        <f>S155*R155</f>
        <v/>
      </c>
      <c r="U155" s="38">
        <f>(battery/range_nm)*D155*O155*VLOOKUP(B155,country_opex,3,FALSE)</f>
        <v/>
      </c>
      <c r="V155" s="38">
        <f>VLOOKUP(B155,country_opex,2,FALSE)*crew_factor</f>
        <v/>
      </c>
      <c r="W155" s="38">
        <f>VLOOKUP(B155,country_opex,5,FALSE)</f>
        <v/>
      </c>
      <c r="X155" s="38">
        <f>maint</f>
        <v/>
      </c>
      <c r="Y155" s="38">
        <f>VLOOKUP(B155,country_opex,7,FALSE)*ins_pct</f>
        <v/>
      </c>
      <c r="Z155" s="38">
        <f>charge_berth</f>
        <v/>
      </c>
      <c r="AA155" s="38">
        <f>U155+V155+W155+X155+Y155+Z155</f>
        <v/>
      </c>
      <c r="AB155" s="38">
        <f>VLOOKUP(B155,country_opex,7,FALSE)/dep_years</f>
        <v/>
      </c>
      <c r="AC155" s="38">
        <f>T155-AA155</f>
        <v/>
      </c>
      <c r="AD155" s="35">
        <f>IF(T155=0,"",AC155/T155)</f>
        <v/>
      </c>
      <c r="AE155" s="36">
        <f>IF(AC155&lt;=0,"",VLOOKUP(B155,country_opex,7,FALSE)/AC155)</f>
        <v/>
      </c>
      <c r="AF155" s="33">
        <f>((D155*O155/diesel_nmpg)*diesel_co2pg-(battery/range_nm)*D155*O155*VLOOKUP(B155,country_opex,4,FALSE))/1000</f>
        <v/>
      </c>
      <c r="AG155" s="31" t="n">
        <v>1190000</v>
      </c>
      <c r="AH155" s="32" t="n"/>
      <c r="AI155" s="32" t="n"/>
      <c r="AJ155" s="39" t="n">
        <v>0.1</v>
      </c>
      <c r="AK155" s="34">
        <f>IF(AG155="","",AG155*AJ155)</f>
        <v/>
      </c>
      <c r="AL155" s="34">
        <f>IF(OR(AG155="",R155=0),"",MIN(IF(AS155="",9.9E+99,AS155),FLOOR(AK155/R155,1)))</f>
        <v/>
      </c>
      <c r="AM155" s="38">
        <f>IF(AL155="","",AL155*T155)</f>
        <v/>
      </c>
      <c r="AN155" s="36">
        <f>IF(OR(AG155="",R155=0),"",MIN(IF(AS155="",9.9E+99,AS155),AK155/R155))</f>
        <v/>
      </c>
      <c r="AO155" s="38">
        <f>IF(AN155="","",AN155*T155)</f>
        <v/>
      </c>
      <c r="AP155" s="40" t="n"/>
      <c r="AQ155" s="41" t="n"/>
      <c r="AR155" s="41" t="n"/>
      <c r="AS155" s="42" t="n"/>
      <c r="AT155" s="43">
        <f>IF(((S155*pax_cap*load_thin*ROUND(K155*L155*revleg_thin,0))-(((battery/range_nm)*D155*ROUND(K155*L155*revleg_thin,0)*VLOOKUP(B155,country_opex,3,FALSE))+V155+W155+X155+Y155+Z155))&lt;=0,"",VLOOKUP(B155,country_opex,7,FALSE)/((S155*pax_cap*load_thin*ROUND(K155*L155*revleg_thin,0))-(((battery/range_nm)*D155*ROUND(K155*L155*revleg_thin,0)*VLOOKUP(B155,country_opex,3,FALSE))+V155+W155+X155+Y155+Z155)))</f>
        <v/>
      </c>
      <c r="AU155" s="43">
        <f>IF(((S155*pax_cap*load_mid*ROUND(K155*L155*revleg_mid,0))-(((battery/range_nm)*D155*ROUND(K155*L155*revleg_mid,0)*VLOOKUP(B155,country_opex,3,FALSE))+V155+W155+X155+Y155+Z155))&lt;=0,"",VLOOKUP(B155,country_opex,7,FALSE)/((S155*pax_cap*load_mid*ROUND(K155*L155*revleg_mid,0))-(((battery/range_nm)*D155*ROUND(K155*L155*revleg_mid,0)*VLOOKUP(B155,country_opex,3,FALSE))+V155+W155+X155+Y155+Z155)))</f>
        <v/>
      </c>
      <c r="AV155" s="43">
        <f>IF(((S155*pax_cap*load_full*ROUND(K155*L155*revleg_full,0))-(((battery/range_nm)*D155*ROUND(K155*L155*revleg_full,0)*VLOOKUP(B155,country_opex,3,FALSE))+V155+W155+X155+Y155+Z155))&lt;=0,"",VLOOKUP(B155,country_opex,7,FALSE)/((S155*pax_cap*load_full*ROUND(K155*L155*revleg_full,0))-(((battery/range_nm)*D155*ROUND(K155*L155*revleg_full,0)*VLOOKUP(B155,country_opex,3,FALSE))+V155+W155+X155+Y155+Z155)))</f>
        <v/>
      </c>
      <c r="AW155" s="44" t="inlineStr">
        <is>
          <t>PREMIUM tier: Trasmapi/Balearia fast-ferry standard adult one-way ~EUR 26.50 (Trasmapi 'normal price 26.50 EUR one way') x 1.08 = ~$28.6 (fast-ferry tickets EUR 23-29; Balearia 'from EUR 25').</t>
        </is>
      </c>
      <c r="AX155" s="44" t="n"/>
    </row>
    <row r="156">
      <c r="A156" s="29" t="inlineStr">
        <is>
          <t>Bolt Spain</t>
        </is>
      </c>
      <c r="B156" s="29" t="inlineStr">
        <is>
          <t>Spain</t>
        </is>
      </c>
      <c r="C156" s="30" t="inlineStr">
        <is>
          <t>Puerto Banús → Estepona</t>
        </is>
      </c>
      <c r="D156" s="31" t="n">
        <v>12</v>
      </c>
      <c r="E156" s="26" t="n">
        <v>16.2</v>
      </c>
      <c r="F156" s="32" t="inlineStr">
        <is>
          <t>T2</t>
        </is>
      </c>
      <c r="G156" s="32" t="inlineStr">
        <is>
          <t>med</t>
        </is>
      </c>
      <c r="H156" s="19" t="n">
        <v>1</v>
      </c>
      <c r="I156" s="33">
        <f>60*D156/cruise_kt</f>
        <v/>
      </c>
      <c r="J156" s="33">
        <f>I156+turn_min+dwell_min</f>
        <v/>
      </c>
      <c r="K156" s="34">
        <f>MIN(16,FLOOR(60*service_hr/J156,1))</f>
        <v/>
      </c>
      <c r="L156" s="34">
        <f>ROUND(365*mech_uptime*H156,0)</f>
        <v/>
      </c>
      <c r="M156" s="35">
        <f>mech_uptime</f>
        <v/>
      </c>
      <c r="N156" s="35">
        <f>revleg_sel</f>
        <v/>
      </c>
      <c r="O156" s="34">
        <f>ROUND(K156*L156*revleg_sel,0)</f>
        <v/>
      </c>
      <c r="P156" s="36">
        <f>load_sel</f>
        <v/>
      </c>
      <c r="Q156" s="36">
        <f>pax_cap*P156</f>
        <v/>
      </c>
      <c r="R156" s="34">
        <f>Q156*O156</f>
        <v/>
      </c>
      <c r="S156" s="37">
        <f>E156*discount</f>
        <v/>
      </c>
      <c r="T156" s="38">
        <f>S156*R156</f>
        <v/>
      </c>
      <c r="U156" s="38">
        <f>(battery/range_nm)*D156*O156*VLOOKUP(B156,country_opex,3,FALSE)</f>
        <v/>
      </c>
      <c r="V156" s="38">
        <f>VLOOKUP(B156,country_opex,2,FALSE)*crew_factor</f>
        <v/>
      </c>
      <c r="W156" s="38">
        <f>VLOOKUP(B156,country_opex,5,FALSE)</f>
        <v/>
      </c>
      <c r="X156" s="38">
        <f>maint</f>
        <v/>
      </c>
      <c r="Y156" s="38">
        <f>VLOOKUP(B156,country_opex,7,FALSE)*ins_pct</f>
        <v/>
      </c>
      <c r="Z156" s="38">
        <f>charge_berth</f>
        <v/>
      </c>
      <c r="AA156" s="38">
        <f>U156+V156+W156+X156+Y156+Z156</f>
        <v/>
      </c>
      <c r="AB156" s="38">
        <f>VLOOKUP(B156,country_opex,7,FALSE)/dep_years</f>
        <v/>
      </c>
      <c r="AC156" s="38">
        <f>T156-AA156</f>
        <v/>
      </c>
      <c r="AD156" s="35">
        <f>IF(T156=0,"",AC156/T156)</f>
        <v/>
      </c>
      <c r="AE156" s="36">
        <f>IF(AC156&lt;=0,"",VLOOKUP(B156,country_opex,7,FALSE)/AC156)</f>
        <v/>
      </c>
      <c r="AF156" s="33">
        <f>((D156*O156/diesel_nmpg)*diesel_co2pg-(battery/range_nm)*D156*O156*VLOOKUP(B156,country_opex,4,FALSE))/1000</f>
        <v/>
      </c>
      <c r="AG156" s="31" t="n"/>
      <c r="AH156" s="32" t="n"/>
      <c r="AI156" s="32" t="n"/>
      <c r="AJ156" s="39" t="n">
        <v>0.1</v>
      </c>
      <c r="AK156" s="34">
        <f>IF(AG156="","",AG156*AJ156)</f>
        <v/>
      </c>
      <c r="AL156" s="34">
        <f>IF(OR(AG156="",R156=0),"",MIN(IF(AS156="",9.9E+99,AS156),FLOOR(AK156/R156,1)))</f>
        <v/>
      </c>
      <c r="AM156" s="38">
        <f>IF(AL156="","",AL156*T156)</f>
        <v/>
      </c>
      <c r="AN156" s="36">
        <f>IF(OR(AG156="",R156=0),"",MIN(IF(AS156="",9.9E+99,AS156),AK156/R156))</f>
        <v/>
      </c>
      <c r="AO156" s="38">
        <f>IF(AN156="","",AN156*T156)</f>
        <v/>
      </c>
      <c r="AP156" s="40" t="n"/>
      <c r="AQ156" s="41" t="n"/>
      <c r="AR156" s="41" t="n"/>
      <c r="AS156" s="42" t="n"/>
      <c r="AT156" s="43">
        <f>IF(((S156*pax_cap*load_thin*ROUND(K156*L156*revleg_thin,0))-(((battery/range_nm)*D156*ROUND(K156*L156*revleg_thin,0)*VLOOKUP(B156,country_opex,3,FALSE))+V156+W156+X156+Y156+Z156))&lt;=0,"",VLOOKUP(B156,country_opex,7,FALSE)/((S156*pax_cap*load_thin*ROUND(K156*L156*revleg_thin,0))-(((battery/range_nm)*D156*ROUND(K156*L156*revleg_thin,0)*VLOOKUP(B156,country_opex,3,FALSE))+V156+W156+X156+Y156+Z156)))</f>
        <v/>
      </c>
      <c r="AU156" s="43">
        <f>IF(((S156*pax_cap*load_mid*ROUND(K156*L156*revleg_mid,0))-(((battery/range_nm)*D156*ROUND(K156*L156*revleg_mid,0)*VLOOKUP(B156,country_opex,3,FALSE))+V156+W156+X156+Y156+Z156))&lt;=0,"",VLOOKUP(B156,country_opex,7,FALSE)/((S156*pax_cap*load_mid*ROUND(K156*L156*revleg_mid,0))-(((battery/range_nm)*D156*ROUND(K156*L156*revleg_mid,0)*VLOOKUP(B156,country_opex,3,FALSE))+V156+W156+X156+Y156+Z156)))</f>
        <v/>
      </c>
      <c r="AV156" s="43">
        <f>IF(((S156*pax_cap*load_full*ROUND(K156*L156*revleg_full,0))-(((battery/range_nm)*D156*ROUND(K156*L156*revleg_full,0)*VLOOKUP(B156,country_opex,3,FALSE))+V156+W156+X156+Y156+Z156))&lt;=0,"",VLOOKUP(B156,country_opex,7,FALSE)/((S156*pax_cap*load_full*ROUND(K156*L156*revleg_full,0))-(((battery/range_nm)*D156*ROUND(K156*L156*revleg_full,0)*VLOOKUP(B156,country_opex,3,FALSE))+V156+W156+X156+Y156+Z156)))</f>
        <v/>
      </c>
      <c r="AW156" s="44" t="inlineStr">
        <is>
          <t>PREMIUM tier proxy: Costa del Sol catamaran tourist hop ~EUR 15 one-way (longer leg than Marbella-Banús) x 1.08 = ~$16.2. RANGED proxy from the Fly Blue/Costa del Sol catamaran tariff band; flagged (not an Estepona-specific year-stamped fare).</t>
        </is>
      </c>
      <c r="AX156" s="44" t="n"/>
    </row>
    <row r="157">
      <c r="A157" s="29" t="inlineStr">
        <is>
          <t>Bolt Spain</t>
        </is>
      </c>
      <c r="B157" s="29" t="inlineStr">
        <is>
          <t>Spain</t>
        </is>
      </c>
      <c r="C157" s="30" t="inlineStr">
        <is>
          <t>Tarifa → Tangier (Morocco)</t>
        </is>
      </c>
      <c r="D157" s="31" t="n">
        <v>18</v>
      </c>
      <c r="E157" s="26" t="n">
        <v>45.4</v>
      </c>
      <c r="F157" s="32" t="inlineStr">
        <is>
          <t>T2</t>
        </is>
      </c>
      <c r="G157" s="32" t="inlineStr">
        <is>
          <t>med</t>
        </is>
      </c>
      <c r="H157" s="19" t="n">
        <v>1</v>
      </c>
      <c r="I157" s="33">
        <f>60*D157/cruise_kt</f>
        <v/>
      </c>
      <c r="J157" s="33">
        <f>I157+turn_min+dwell_min</f>
        <v/>
      </c>
      <c r="K157" s="34">
        <f>MIN(10,FLOOR(60*service_hr/J157,1))</f>
        <v/>
      </c>
      <c r="L157" s="34">
        <f>ROUND(365*mech_uptime*H157,0)</f>
        <v/>
      </c>
      <c r="M157" s="35">
        <f>mech_uptime</f>
        <v/>
      </c>
      <c r="N157" s="35">
        <f>revleg_sel</f>
        <v/>
      </c>
      <c r="O157" s="34">
        <f>ROUND(K157*L157*revleg_sel,0)</f>
        <v/>
      </c>
      <c r="P157" s="36">
        <f>load_sel</f>
        <v/>
      </c>
      <c r="Q157" s="36">
        <f>pax_cap*P157</f>
        <v/>
      </c>
      <c r="R157" s="34">
        <f>Q157*O157</f>
        <v/>
      </c>
      <c r="S157" s="37">
        <f>E157*discount</f>
        <v/>
      </c>
      <c r="T157" s="38">
        <f>S157*R157</f>
        <v/>
      </c>
      <c r="U157" s="38">
        <f>(battery/range_nm)*D157*O157*VLOOKUP(B157,country_opex,3,FALSE)</f>
        <v/>
      </c>
      <c r="V157" s="38">
        <f>VLOOKUP(B157,country_opex,2,FALSE)*crew_factor</f>
        <v/>
      </c>
      <c r="W157" s="38">
        <f>VLOOKUP(B157,country_opex,5,FALSE)</f>
        <v/>
      </c>
      <c r="X157" s="38">
        <f>maint</f>
        <v/>
      </c>
      <c r="Y157" s="38">
        <f>VLOOKUP(B157,country_opex,7,FALSE)*ins_pct</f>
        <v/>
      </c>
      <c r="Z157" s="38">
        <f>charge_berth</f>
        <v/>
      </c>
      <c r="AA157" s="38">
        <f>U157+V157+W157+X157+Y157+Z157</f>
        <v/>
      </c>
      <c r="AB157" s="38">
        <f>VLOOKUP(B157,country_opex,7,FALSE)/dep_years</f>
        <v/>
      </c>
      <c r="AC157" s="38">
        <f>T157-AA157</f>
        <v/>
      </c>
      <c r="AD157" s="35">
        <f>IF(T157=0,"",AC157/T157)</f>
        <v/>
      </c>
      <c r="AE157" s="36">
        <f>IF(AC157&lt;=0,"",VLOOKUP(B157,country_opex,7,FALSE)/AC157)</f>
        <v/>
      </c>
      <c r="AF157" s="33">
        <f>((D157*O157/diesel_nmpg)*diesel_co2pg-(battery/range_nm)*D157*O157*VLOOKUP(B157,country_opex,4,FALSE))/1000</f>
        <v/>
      </c>
      <c r="AG157" s="31" t="n">
        <v>700000</v>
      </c>
      <c r="AH157" s="32" t="n"/>
      <c r="AI157" s="32" t="n"/>
      <c r="AJ157" s="39" t="n">
        <v>0.1</v>
      </c>
      <c r="AK157" s="34">
        <f>IF(AG157="","",AG157*AJ157)</f>
        <v/>
      </c>
      <c r="AL157" s="34">
        <f>IF(OR(AG157="",R157=0),"",MIN(IF(AS157="",9.9E+99,AS157),FLOOR(AK157/R157,1)))</f>
        <v/>
      </c>
      <c r="AM157" s="38">
        <f>IF(AL157="","",AL157*T157)</f>
        <v/>
      </c>
      <c r="AN157" s="36">
        <f>IF(OR(AG157="",R157=0),"",MIN(IF(AS157="",9.9E+99,AS157),AK157/R157))</f>
        <v/>
      </c>
      <c r="AO157" s="38">
        <f>IF(AN157="","",AN157*T157)</f>
        <v/>
      </c>
      <c r="AP157" s="40" t="n"/>
      <c r="AQ157" s="41" t="n"/>
      <c r="AR157" s="41" t="n"/>
      <c r="AS157" s="42" t="n"/>
      <c r="AT157" s="43">
        <f>IF(((S157*pax_cap*load_thin*ROUND(K157*L157*revleg_thin,0))-(((battery/range_nm)*D157*ROUND(K157*L157*revleg_thin,0)*VLOOKUP(B157,country_opex,3,FALSE))+V157+W157+X157+Y157+Z157))&lt;=0,"",VLOOKUP(B157,country_opex,7,FALSE)/((S157*pax_cap*load_thin*ROUND(K157*L157*revleg_thin,0))-(((battery/range_nm)*D157*ROUND(K157*L157*revleg_thin,0)*VLOOKUP(B157,country_opex,3,FALSE))+V157+W157+X157+Y157+Z157)))</f>
        <v/>
      </c>
      <c r="AU157" s="43">
        <f>IF(((S157*pax_cap*load_mid*ROUND(K157*L157*revleg_mid,0))-(((battery/range_nm)*D157*ROUND(K157*L157*revleg_mid,0)*VLOOKUP(B157,country_opex,3,FALSE))+V157+W157+X157+Y157+Z157))&lt;=0,"",VLOOKUP(B157,country_opex,7,FALSE)/((S157*pax_cap*load_mid*ROUND(K157*L157*revleg_mid,0))-(((battery/range_nm)*D157*ROUND(K157*L157*revleg_mid,0)*VLOOKUP(B157,country_opex,3,FALSE))+V157+W157+X157+Y157+Z157)))</f>
        <v/>
      </c>
      <c r="AV157" s="43">
        <f>IF(((S157*pax_cap*load_full*ROUND(K157*L157*revleg_full,0))-(((battery/range_nm)*D157*ROUND(K157*L157*revleg_full,0)*VLOOKUP(B157,country_opex,3,FALSE))+V157+W157+X157+Y157+Z157))&lt;=0,"",VLOOKUP(B157,country_opex,7,FALSE)/((S157*pax_cap*load_full*ROUND(K157*L157*revleg_full,0))-(((battery/range_nm)*D157*ROUND(K157*L157*revleg_full,0)*VLOOKUP(B157,country_opex,3,FALSE))+V157+W157+X157+Y157+Z157)))</f>
        <v/>
      </c>
      <c r="AW157" s="44" t="inlineStr">
        <is>
          <t>PREMIUM tier: Tarifa-&gt;Tangier fast ferry one-way ~EUR 37.50-45 (Ferryhopper from ~EUR 37.50; FRS/DFDS) -&gt; ~EUR 42 x 1.08 = ~$45.4.</t>
        </is>
      </c>
      <c r="AX157" s="44" t="n"/>
    </row>
    <row r="158">
      <c r="A158" s="29" t="inlineStr">
        <is>
          <t>Bolt Spain</t>
        </is>
      </c>
      <c r="B158" s="29" t="inlineStr">
        <is>
          <t>Spain</t>
        </is>
      </c>
      <c r="C158" s="30" t="inlineStr">
        <is>
          <t>Alcúdia (Mallorca) → Ciutadella (Menorca)</t>
        </is>
      </c>
      <c r="D158" s="31" t="n">
        <v>22</v>
      </c>
      <c r="E158" s="26" t="n">
        <v>80</v>
      </c>
      <c r="F158" s="32" t="inlineStr">
        <is>
          <t>T2</t>
        </is>
      </c>
      <c r="G158" s="32" t="inlineStr">
        <is>
          <t>med</t>
        </is>
      </c>
      <c r="H158" s="19" t="n">
        <v>1</v>
      </c>
      <c r="I158" s="33">
        <f>60*D158/cruise_kt</f>
        <v/>
      </c>
      <c r="J158" s="33">
        <f>I158+turn_min+dwell_min</f>
        <v/>
      </c>
      <c r="K158" s="34">
        <f>MIN(10,FLOOR(60*service_hr/J158,1))</f>
        <v/>
      </c>
      <c r="L158" s="34">
        <f>ROUND(365*mech_uptime*H158,0)</f>
        <v/>
      </c>
      <c r="M158" s="35">
        <f>mech_uptime</f>
        <v/>
      </c>
      <c r="N158" s="35">
        <f>revleg_sel</f>
        <v/>
      </c>
      <c r="O158" s="34">
        <f>ROUND(K158*L158*revleg_sel,0)</f>
        <v/>
      </c>
      <c r="P158" s="36">
        <f>load_sel</f>
        <v/>
      </c>
      <c r="Q158" s="36">
        <f>pax_cap*P158</f>
        <v/>
      </c>
      <c r="R158" s="34">
        <f>Q158*O158</f>
        <v/>
      </c>
      <c r="S158" s="37">
        <f>E158*discount</f>
        <v/>
      </c>
      <c r="T158" s="38">
        <f>S158*R158</f>
        <v/>
      </c>
      <c r="U158" s="38">
        <f>(battery/range_nm)*D158*O158*VLOOKUP(B158,country_opex,3,FALSE)</f>
        <v/>
      </c>
      <c r="V158" s="38">
        <f>VLOOKUP(B158,country_opex,2,FALSE)*crew_factor</f>
        <v/>
      </c>
      <c r="W158" s="38">
        <f>VLOOKUP(B158,country_opex,5,FALSE)</f>
        <v/>
      </c>
      <c r="X158" s="38">
        <f>maint</f>
        <v/>
      </c>
      <c r="Y158" s="38">
        <f>VLOOKUP(B158,country_opex,7,FALSE)*ins_pct</f>
        <v/>
      </c>
      <c r="Z158" s="38">
        <f>charge_berth</f>
        <v/>
      </c>
      <c r="AA158" s="38">
        <f>U158+V158+W158+X158+Y158+Z158</f>
        <v/>
      </c>
      <c r="AB158" s="38">
        <f>VLOOKUP(B158,country_opex,7,FALSE)/dep_years</f>
        <v/>
      </c>
      <c r="AC158" s="38">
        <f>T158-AA158</f>
        <v/>
      </c>
      <c r="AD158" s="35">
        <f>IF(T158=0,"",AC158/T158)</f>
        <v/>
      </c>
      <c r="AE158" s="36">
        <f>IF(AC158&lt;=0,"",VLOOKUP(B158,country_opex,7,FALSE)/AC158)</f>
        <v/>
      </c>
      <c r="AF158" s="33">
        <f>((D158*O158/diesel_nmpg)*diesel_co2pg-(battery/range_nm)*D158*O158*VLOOKUP(B158,country_opex,4,FALSE))/1000</f>
        <v/>
      </c>
      <c r="AG158" s="31" t="n">
        <v>62400</v>
      </c>
      <c r="AH158" s="32" t="n"/>
      <c r="AI158" s="32" t="n"/>
      <c r="AJ158" s="39" t="n">
        <v>0.1</v>
      </c>
      <c r="AK158" s="34">
        <f>IF(AG158="","",AG158*AJ158)</f>
        <v/>
      </c>
      <c r="AL158" s="34">
        <f>IF(OR(AG158="",R158=0),"",MIN(IF(AS158="",9.9E+99,AS158),FLOOR(AK158/R158,1)))</f>
        <v/>
      </c>
      <c r="AM158" s="38">
        <f>IF(AL158="","",AL158*T158)</f>
        <v/>
      </c>
      <c r="AN158" s="36">
        <f>IF(OR(AG158="",R158=0),"",MIN(IF(AS158="",9.9E+99,AS158),AK158/R158))</f>
        <v/>
      </c>
      <c r="AO158" s="38">
        <f>IF(AN158="","",AN158*T158)</f>
        <v/>
      </c>
      <c r="AP158" s="40" t="n"/>
      <c r="AQ158" s="41" t="n"/>
      <c r="AR158" s="41" t="n"/>
      <c r="AS158" s="42" t="n"/>
      <c r="AT158" s="43">
        <f>IF(((S158*pax_cap*load_thin*ROUND(K158*L158*revleg_thin,0))-(((battery/range_nm)*D158*ROUND(K158*L158*revleg_thin,0)*VLOOKUP(B158,country_opex,3,FALSE))+V158+W158+X158+Y158+Z158))&lt;=0,"",VLOOKUP(B158,country_opex,7,FALSE)/((S158*pax_cap*load_thin*ROUND(K158*L158*revleg_thin,0))-(((battery/range_nm)*D158*ROUND(K158*L158*revleg_thin,0)*VLOOKUP(B158,country_opex,3,FALSE))+V158+W158+X158+Y158+Z158)))</f>
        <v/>
      </c>
      <c r="AU158" s="43">
        <f>IF(((S158*pax_cap*load_mid*ROUND(K158*L158*revleg_mid,0))-(((battery/range_nm)*D158*ROUND(K158*L158*revleg_mid,0)*VLOOKUP(B158,country_opex,3,FALSE))+V158+W158+X158+Y158+Z158))&lt;=0,"",VLOOKUP(B158,country_opex,7,FALSE)/((S158*pax_cap*load_mid*ROUND(K158*L158*revleg_mid,0))-(((battery/range_nm)*D158*ROUND(K158*L158*revleg_mid,0)*VLOOKUP(B158,country_opex,3,FALSE))+V158+W158+X158+Y158+Z158)))</f>
        <v/>
      </c>
      <c r="AV158" s="43">
        <f>IF(((S158*pax_cap*load_full*ROUND(K158*L158*revleg_full,0))-(((battery/range_nm)*D158*ROUND(K158*L158*revleg_full,0)*VLOOKUP(B158,country_opex,3,FALSE))+V158+W158+X158+Y158+Z158))&lt;=0,"",VLOOKUP(B158,country_opex,7,FALSE)/((S158*pax_cap*load_full*ROUND(K158*L158*revleg_full,0))-(((battery/range_nm)*D158*ROUND(K158*L158*revleg_full,0)*VLOOKUP(B158,country_opex,3,FALSE))+V158+W158+X158+Y158+Z158)))</f>
        <v/>
      </c>
      <c r="AW158" s="44" t="inlineStr">
        <is>
          <t>PREMIUM tier: Balearia/Menorca Lines fast ferry Alcudia-&gt;Ciutadella standard adult one-way ~EUR 74 (Balearia avg round-trip without vehicle from EUR 148 =&gt; ~EUR 74/leg; iloveferry 'from 76 EUR one way') x 1.08 = ~$80. Short but premium-priced fast craft.</t>
        </is>
      </c>
      <c r="AX158" s="44" t="n"/>
    </row>
    <row r="159">
      <c r="A159" s="29" t="inlineStr">
        <is>
          <t>Bolt Spain</t>
        </is>
      </c>
      <c r="B159" s="29" t="inlineStr">
        <is>
          <t>Spain</t>
        </is>
      </c>
      <c r="C159" s="30" t="inlineStr">
        <is>
          <t>Dénia → Ibiza Town (Eivissa)</t>
        </is>
      </c>
      <c r="D159" s="31" t="n">
        <v>56</v>
      </c>
      <c r="E159" s="26" t="n">
        <v>54</v>
      </c>
      <c r="F159" s="32" t="inlineStr">
        <is>
          <t>T2</t>
        </is>
      </c>
      <c r="G159" s="32" t="inlineStr">
        <is>
          <t>med</t>
        </is>
      </c>
      <c r="H159" s="19" t="n">
        <v>1</v>
      </c>
      <c r="I159" s="33">
        <f>60*D159/cruise_kt</f>
        <v/>
      </c>
      <c r="J159" s="33">
        <f>I159+turn_min+dwell_min</f>
        <v/>
      </c>
      <c r="K159" s="34">
        <f>MIN(10,FLOOR(60*service_hr/J159,1))</f>
        <v/>
      </c>
      <c r="L159" s="34">
        <f>ROUND(365*mech_uptime*H159,0)</f>
        <v/>
      </c>
      <c r="M159" s="35">
        <f>mech_uptime</f>
        <v/>
      </c>
      <c r="N159" s="35">
        <f>revleg_sel</f>
        <v/>
      </c>
      <c r="O159" s="34">
        <f>ROUND(K159*L159*revleg_sel,0)</f>
        <v/>
      </c>
      <c r="P159" s="36">
        <f>load_sel</f>
        <v/>
      </c>
      <c r="Q159" s="36">
        <f>pax_cap*P159</f>
        <v/>
      </c>
      <c r="R159" s="34">
        <f>Q159*O159</f>
        <v/>
      </c>
      <c r="S159" s="37">
        <f>E159*discount</f>
        <v/>
      </c>
      <c r="T159" s="38">
        <f>S159*R159</f>
        <v/>
      </c>
      <c r="U159" s="38">
        <f>(battery/range_nm)*D159*O159*VLOOKUP(B159,country_opex,3,FALSE)</f>
        <v/>
      </c>
      <c r="V159" s="38">
        <f>VLOOKUP(B159,country_opex,2,FALSE)*crew_factor</f>
        <v/>
      </c>
      <c r="W159" s="38">
        <f>VLOOKUP(B159,country_opex,5,FALSE)</f>
        <v/>
      </c>
      <c r="X159" s="38">
        <f>maint</f>
        <v/>
      </c>
      <c r="Y159" s="38">
        <f>VLOOKUP(B159,country_opex,7,FALSE)*ins_pct</f>
        <v/>
      </c>
      <c r="Z159" s="38">
        <f>charge_berth</f>
        <v/>
      </c>
      <c r="AA159" s="38">
        <f>U159+V159+W159+X159+Y159+Z159</f>
        <v/>
      </c>
      <c r="AB159" s="38">
        <f>VLOOKUP(B159,country_opex,7,FALSE)/dep_years</f>
        <v/>
      </c>
      <c r="AC159" s="38">
        <f>T159-AA159</f>
        <v/>
      </c>
      <c r="AD159" s="35">
        <f>IF(T159=0,"",AC159/T159)</f>
        <v/>
      </c>
      <c r="AE159" s="36">
        <f>IF(AC159&lt;=0,"",VLOOKUP(B159,country_opex,7,FALSE)/AC159)</f>
        <v/>
      </c>
      <c r="AF159" s="33">
        <f>((D159*O159/diesel_nmpg)*diesel_co2pg-(battery/range_nm)*D159*O159*VLOOKUP(B159,country_opex,4,FALSE))/1000</f>
        <v/>
      </c>
      <c r="AG159" s="31" t="n">
        <v>49000</v>
      </c>
      <c r="AH159" s="32" t="n"/>
      <c r="AI159" s="32" t="n"/>
      <c r="AJ159" s="39" t="n">
        <v>0.1</v>
      </c>
      <c r="AK159" s="34">
        <f>IF(AG159="","",AG159*AJ159)</f>
        <v/>
      </c>
      <c r="AL159" s="34">
        <f>IF(OR(AG159="",R159=0),"",MIN(IF(AS159="",9.9E+99,AS159),FLOOR(AK159/R159,1)))</f>
        <v/>
      </c>
      <c r="AM159" s="38">
        <f>IF(AL159="","",AL159*T159)</f>
        <v/>
      </c>
      <c r="AN159" s="36">
        <f>IF(OR(AG159="",R159=0),"",MIN(IF(AS159="",9.9E+99,AS159),AK159/R159))</f>
        <v/>
      </c>
      <c r="AO159" s="38">
        <f>IF(AN159="","",AN159*T159)</f>
        <v/>
      </c>
      <c r="AP159" s="40" t="n"/>
      <c r="AQ159" s="41" t="n"/>
      <c r="AR159" s="41" t="n"/>
      <c r="AS159" s="42" t="n"/>
      <c r="AT159" s="43">
        <f>IF(((S159*pax_cap*load_thin*ROUND(K159*L159*revleg_thin,0))-(((battery/range_nm)*D159*ROUND(K159*L159*revleg_thin,0)*VLOOKUP(B159,country_opex,3,FALSE))+V159+W159+X159+Y159+Z159))&lt;=0,"",VLOOKUP(B159,country_opex,7,FALSE)/((S159*pax_cap*load_thin*ROUND(K159*L159*revleg_thin,0))-(((battery/range_nm)*D159*ROUND(K159*L159*revleg_thin,0)*VLOOKUP(B159,country_opex,3,FALSE))+V159+W159+X159+Y159+Z159)))</f>
        <v/>
      </c>
      <c r="AU159" s="43">
        <f>IF(((S159*pax_cap*load_mid*ROUND(K159*L159*revleg_mid,0))-(((battery/range_nm)*D159*ROUND(K159*L159*revleg_mid,0)*VLOOKUP(B159,country_opex,3,FALSE))+V159+W159+X159+Y159+Z159))&lt;=0,"",VLOOKUP(B159,country_opex,7,FALSE)/((S159*pax_cap*load_mid*ROUND(K159*L159*revleg_mid,0))-(((battery/range_nm)*D159*ROUND(K159*L159*revleg_mid,0)*VLOOKUP(B159,country_opex,3,FALSE))+V159+W159+X159+Y159+Z159)))</f>
        <v/>
      </c>
      <c r="AV159" s="43">
        <f>IF(((S159*pax_cap*load_full*ROUND(K159*L159*revleg_full,0))-(((battery/range_nm)*D159*ROUND(K159*L159*revleg_full,0)*VLOOKUP(B159,country_opex,3,FALSE))+V159+W159+X159+Y159+Z159))&lt;=0,"",VLOOKUP(B159,country_opex,7,FALSE)/((S159*pax_cap*load_full*ROUND(K159*L159*revleg_full,0))-(((battery/range_nm)*D159*ROUND(K159*L159*revleg_full,0)*VLOOKUP(B159,country_opex,3,FALSE))+V159+W159+X159+Y159+Z159)))</f>
        <v/>
      </c>
      <c r="AW159" s="44" t="inlineStr">
        <is>
          <t>PREMIUM tier: Balearia fast ferry Dénia-&gt;Ibiza standard adult one-way ~EUR 50 (Direct Ferries ES 'desde 30 EUR' lead-in rising to ~EUR 50-77 standard/flex) x 1.08 = ~$54. RANGED estimate, flagged.</t>
        </is>
      </c>
      <c r="AX159" s="44" t="n"/>
    </row>
    <row r="160">
      <c r="A160" s="29" t="inlineStr">
        <is>
          <t>Bolt Sweden</t>
        </is>
      </c>
      <c r="B160" s="29" t="inlineStr">
        <is>
          <t>Sweden</t>
        </is>
      </c>
      <c r="C160" s="30" t="inlineStr">
        <is>
          <t>Stockholm (Slussen) → Djurgarden</t>
        </is>
      </c>
      <c r="D160" s="31" t="n">
        <v>0.5</v>
      </c>
      <c r="E160" s="26" t="n">
        <v>18</v>
      </c>
      <c r="F160" s="32" t="inlineStr">
        <is>
          <t>T2</t>
        </is>
      </c>
      <c r="G160" s="32" t="inlineStr">
        <is>
          <t>med</t>
        </is>
      </c>
      <c r="H160" s="19" t="n">
        <v>1</v>
      </c>
      <c r="I160" s="33">
        <f>60*D160/cruise_kt</f>
        <v/>
      </c>
      <c r="J160" s="33">
        <f>I160+turn_min+dwell_min</f>
        <v/>
      </c>
      <c r="K160" s="34">
        <f>MIN(10,FLOOR(60*service_hr/J160,1))</f>
        <v/>
      </c>
      <c r="L160" s="34">
        <f>ROUND(365*mech_uptime*H160,0)</f>
        <v/>
      </c>
      <c r="M160" s="35">
        <f>mech_uptime</f>
        <v/>
      </c>
      <c r="N160" s="35">
        <f>revleg_sel</f>
        <v/>
      </c>
      <c r="O160" s="34">
        <f>ROUND(K160*L160*revleg_sel,0)</f>
        <v/>
      </c>
      <c r="P160" s="36">
        <f>load_sel</f>
        <v/>
      </c>
      <c r="Q160" s="36">
        <f>pax_cap*P160</f>
        <v/>
      </c>
      <c r="R160" s="34">
        <f>Q160*O160</f>
        <v/>
      </c>
      <c r="S160" s="37">
        <f>E160*discount</f>
        <v/>
      </c>
      <c r="T160" s="38">
        <f>S160*R160</f>
        <v/>
      </c>
      <c r="U160" s="38">
        <f>(battery/range_nm)*D160*O160*VLOOKUP(B160,country_opex,3,FALSE)</f>
        <v/>
      </c>
      <c r="V160" s="38">
        <f>VLOOKUP(B160,country_opex,2,FALSE)*crew_factor</f>
        <v/>
      </c>
      <c r="W160" s="38">
        <f>VLOOKUP(B160,country_opex,5,FALSE)</f>
        <v/>
      </c>
      <c r="X160" s="38">
        <f>maint</f>
        <v/>
      </c>
      <c r="Y160" s="38">
        <f>VLOOKUP(B160,country_opex,7,FALSE)*ins_pct</f>
        <v/>
      </c>
      <c r="Z160" s="38">
        <f>charge_berth</f>
        <v/>
      </c>
      <c r="AA160" s="38">
        <f>U160+V160+W160+X160+Y160+Z160</f>
        <v/>
      </c>
      <c r="AB160" s="38">
        <f>VLOOKUP(B160,country_opex,7,FALSE)/dep_years</f>
        <v/>
      </c>
      <c r="AC160" s="38">
        <f>T160-AA160</f>
        <v/>
      </c>
      <c r="AD160" s="35">
        <f>IF(T160=0,"",AC160/T160)</f>
        <v/>
      </c>
      <c r="AE160" s="36">
        <f>IF(AC160&lt;=0,"",VLOOKUP(B160,country_opex,7,FALSE)/AC160)</f>
        <v/>
      </c>
      <c r="AF160" s="33">
        <f>((D160*O160/diesel_nmpg)*diesel_co2pg-(battery/range_nm)*D160*O160*VLOOKUP(B160,country_opex,4,FALSE))/1000</f>
        <v/>
      </c>
      <c r="AG160" s="31" t="n">
        <v>271332</v>
      </c>
      <c r="AH160" s="32" t="n"/>
      <c r="AI160" s="32" t="inlineStr">
        <is>
          <t>med</t>
        </is>
      </c>
      <c r="AJ160" s="39" t="n">
        <v>0.25</v>
      </c>
      <c r="AK160" s="34">
        <f>IF(AG160="","",AG160*AJ160)</f>
        <v/>
      </c>
      <c r="AL160" s="34">
        <f>IF(OR(AG160="",R160=0),"",MIN(IF(AS160="",9.9E+99,AS160),FLOOR(AK160/R160,1)))</f>
        <v/>
      </c>
      <c r="AM160" s="38">
        <f>IF(AL160="","",AL160*T160)</f>
        <v/>
      </c>
      <c r="AN160" s="36">
        <f>IF(OR(AG160="",R160=0),"",MIN(IF(AS160="",9.9E+99,AS160),AK160/R160))</f>
        <v/>
      </c>
      <c r="AO160" s="38">
        <f>IF(AN160="","",AN160*T160)</f>
        <v/>
      </c>
      <c r="AP160" s="40" t="n"/>
      <c r="AQ160" s="41" t="n"/>
      <c r="AR160" s="41" t="n"/>
      <c r="AS160" s="42" t="n"/>
      <c r="AT160" s="43">
        <f>IF(((S160*pax_cap*load_thin*ROUND(K160*L160*revleg_thin,0))-(((battery/range_nm)*D160*ROUND(K160*L160*revleg_thin,0)*VLOOKUP(B160,country_opex,3,FALSE))+V160+W160+X160+Y160+Z160))&lt;=0,"",VLOOKUP(B160,country_opex,7,FALSE)/((S160*pax_cap*load_thin*ROUND(K160*L160*revleg_thin,0))-(((battery/range_nm)*D160*ROUND(K160*L160*revleg_thin,0)*VLOOKUP(B160,country_opex,3,FALSE))+V160+W160+X160+Y160+Z160)))</f>
        <v/>
      </c>
      <c r="AU160" s="43">
        <f>IF(((S160*pax_cap*load_mid*ROUND(K160*L160*revleg_mid,0))-(((battery/range_nm)*D160*ROUND(K160*L160*revleg_mid,0)*VLOOKUP(B160,country_opex,3,FALSE))+V160+W160+X160+Y160+Z160))&lt;=0,"",VLOOKUP(B160,country_opex,7,FALSE)/((S160*pax_cap*load_mid*ROUND(K160*L160*revleg_mid,0))-(((battery/range_nm)*D160*ROUND(K160*L160*revleg_mid,0)*VLOOKUP(B160,country_opex,3,FALSE))+V160+W160+X160+Y160+Z160)))</f>
        <v/>
      </c>
      <c r="AV160" s="43">
        <f>IF(((S160*pax_cap*load_full*ROUND(K160*L160*revleg_full,0))-(((battery/range_nm)*D160*ROUND(K160*L160*revleg_full,0)*VLOOKUP(B160,country_opex,3,FALSE))+V160+W160+X160+Y160+Z160))&lt;=0,"",VLOOKUP(B160,country_opex,7,FALSE)/((S160*pax_cap*load_full*ROUND(K160*L160*revleg_full,0))-(((battery/range_nm)*D160*ROUND(K160*L160*revleg_full,0)*VLOOKUP(B160,country_opex,3,FALSE))+V160+W160+X160+Y160+Z160)))</f>
        <v/>
      </c>
      <c r="AW160" s="44" t="inlineStr">
        <is>
          <t>[LB-255 PREMIUM RE-FARE: subsidized comparable $4.1 lifted to premium on-demand floor $18.0] SL single ticket SEK 43 (2025; SEK 42 in 2024). Line 82 is a pure SL mass-transit commuter ferry (SL travelcard valid) - NO premium scheduled tier exists on this leg, so fare_anchor = the SL single. SEK 43 x 0.0952 = $4.1. (Premium sightseeing context only: Stromma hop-on-hop-off / Royal Canal tours ~SEK 220+/day cover this water but are not a per-seat point-to-point fare.)</t>
        </is>
      </c>
      <c r="AX160" s="44" t="n"/>
    </row>
    <row r="161">
      <c r="A161" s="29" t="inlineStr">
        <is>
          <t>Bolt Sweden</t>
        </is>
      </c>
      <c r="B161" s="29" t="inlineStr">
        <is>
          <t>Sweden</t>
        </is>
      </c>
      <c r="C161" s="30" t="inlineStr">
        <is>
          <t>Stockholm (Nybroplan) → Nacka Strand / Ropsten</t>
        </is>
      </c>
      <c r="D161" s="31" t="n">
        <v>3</v>
      </c>
      <c r="E161" s="26" t="n">
        <v>18</v>
      </c>
      <c r="F161" s="32" t="inlineStr">
        <is>
          <t>T2</t>
        </is>
      </c>
      <c r="G161" s="32" t="inlineStr">
        <is>
          <t>med</t>
        </is>
      </c>
      <c r="H161" s="19" t="n">
        <v>1</v>
      </c>
      <c r="I161" s="33">
        <f>60*D161/cruise_kt</f>
        <v/>
      </c>
      <c r="J161" s="33">
        <f>I161+turn_min+dwell_min</f>
        <v/>
      </c>
      <c r="K161" s="34">
        <f>MIN(16,FLOOR(60*service_hr/J161,1))</f>
        <v/>
      </c>
      <c r="L161" s="34">
        <f>ROUND(365*mech_uptime*H161,0)</f>
        <v/>
      </c>
      <c r="M161" s="35">
        <f>mech_uptime</f>
        <v/>
      </c>
      <c r="N161" s="35">
        <f>revleg_sel</f>
        <v/>
      </c>
      <c r="O161" s="34">
        <f>ROUND(K161*L161*revleg_sel,0)</f>
        <v/>
      </c>
      <c r="P161" s="36">
        <f>load_sel</f>
        <v/>
      </c>
      <c r="Q161" s="36">
        <f>pax_cap*P161</f>
        <v/>
      </c>
      <c r="R161" s="34">
        <f>Q161*O161</f>
        <v/>
      </c>
      <c r="S161" s="37">
        <f>E161*discount</f>
        <v/>
      </c>
      <c r="T161" s="38">
        <f>S161*R161</f>
        <v/>
      </c>
      <c r="U161" s="38">
        <f>(battery/range_nm)*D161*O161*VLOOKUP(B161,country_opex,3,FALSE)</f>
        <v/>
      </c>
      <c r="V161" s="38">
        <f>VLOOKUP(B161,country_opex,2,FALSE)*crew_factor</f>
        <v/>
      </c>
      <c r="W161" s="38">
        <f>VLOOKUP(B161,country_opex,5,FALSE)</f>
        <v/>
      </c>
      <c r="X161" s="38">
        <f>maint</f>
        <v/>
      </c>
      <c r="Y161" s="38">
        <f>VLOOKUP(B161,country_opex,7,FALSE)*ins_pct</f>
        <v/>
      </c>
      <c r="Z161" s="38">
        <f>charge_berth</f>
        <v/>
      </c>
      <c r="AA161" s="38">
        <f>U161+V161+W161+X161+Y161+Z161</f>
        <v/>
      </c>
      <c r="AB161" s="38">
        <f>VLOOKUP(B161,country_opex,7,FALSE)/dep_years</f>
        <v/>
      </c>
      <c r="AC161" s="38">
        <f>T161-AA161</f>
        <v/>
      </c>
      <c r="AD161" s="35">
        <f>IF(T161=0,"",AC161/T161)</f>
        <v/>
      </c>
      <c r="AE161" s="36">
        <f>IF(AC161&lt;=0,"",VLOOKUP(B161,country_opex,7,FALSE)/AC161)</f>
        <v/>
      </c>
      <c r="AF161" s="33">
        <f>((D161*O161/diesel_nmpg)*diesel_co2pg-(battery/range_nm)*D161*O161*VLOOKUP(B161,country_opex,4,FALSE))/1000</f>
        <v/>
      </c>
      <c r="AG161" s="31" t="n">
        <v>365638</v>
      </c>
      <c r="AH161" s="32" t="n"/>
      <c r="AI161" s="32" t="inlineStr">
        <is>
          <t>med</t>
        </is>
      </c>
      <c r="AJ161" s="39" t="n">
        <v>0.25</v>
      </c>
      <c r="AK161" s="34">
        <f>IF(AG161="","",AG161*AJ161)</f>
        <v/>
      </c>
      <c r="AL161" s="34">
        <f>IF(OR(AG161="",R161=0),"",MIN(IF(AS161="",9.9E+99,AS161),FLOOR(AK161/R161,1)))</f>
        <v/>
      </c>
      <c r="AM161" s="38">
        <f>IF(AL161="","",AL161*T161)</f>
        <v/>
      </c>
      <c r="AN161" s="36">
        <f>IF(OR(AG161="",R161=0),"",MIN(IF(AS161="",9.9E+99,AS161),AK161/R161))</f>
        <v/>
      </c>
      <c r="AO161" s="38">
        <f>IF(AN161="","",AN161*T161)</f>
        <v/>
      </c>
      <c r="AP161" s="40" t="n"/>
      <c r="AQ161" s="41" t="n"/>
      <c r="AR161" s="41" t="n"/>
      <c r="AS161" s="42" t="n"/>
      <c r="AT161" s="43">
        <f>IF(((S161*pax_cap*load_thin*ROUND(K161*L161*revleg_thin,0))-(((battery/range_nm)*D161*ROUND(K161*L161*revleg_thin,0)*VLOOKUP(B161,country_opex,3,FALSE))+V161+W161+X161+Y161+Z161))&lt;=0,"",VLOOKUP(B161,country_opex,7,FALSE)/((S161*pax_cap*load_thin*ROUND(K161*L161*revleg_thin,0))-(((battery/range_nm)*D161*ROUND(K161*L161*revleg_thin,0)*VLOOKUP(B161,country_opex,3,FALSE))+V161+W161+X161+Y161+Z161)))</f>
        <v/>
      </c>
      <c r="AU161" s="43">
        <f>IF(((S161*pax_cap*load_mid*ROUND(K161*L161*revleg_mid,0))-(((battery/range_nm)*D161*ROUND(K161*L161*revleg_mid,0)*VLOOKUP(B161,country_opex,3,FALSE))+V161+W161+X161+Y161+Z161))&lt;=0,"",VLOOKUP(B161,country_opex,7,FALSE)/((S161*pax_cap*load_mid*ROUND(K161*L161*revleg_mid,0))-(((battery/range_nm)*D161*ROUND(K161*L161*revleg_mid,0)*VLOOKUP(B161,country_opex,3,FALSE))+V161+W161+X161+Y161+Z161)))</f>
        <v/>
      </c>
      <c r="AV161" s="43">
        <f>IF(((S161*pax_cap*load_full*ROUND(K161*L161*revleg_full,0))-(((battery/range_nm)*D161*ROUND(K161*L161*revleg_full,0)*VLOOKUP(B161,country_opex,3,FALSE))+V161+W161+X161+Y161+Z161))&lt;=0,"",VLOOKUP(B161,country_opex,7,FALSE)/((S161*pax_cap*load_full*ROUND(K161*L161*revleg_full,0))-(((battery/range_nm)*D161*ROUND(K161*L161*revleg_full,0)*VLOOKUP(B161,country_opex,3,FALSE))+V161+W161+X161+Y161+Z161)))</f>
        <v/>
      </c>
      <c r="AW161" s="44" t="inlineStr">
        <is>
          <t>[LB-255 PREMIUM RE-FARE: subsidized comparable $4.1 lifted to premium on-demand floor $18.0] SL single ticket SEK 43 (2025). Line 80 is an SL mass-transit commuter boat (SL travelcard valid) - no premium tier. SEK 43 x 0.0952 = $4.1.</t>
        </is>
      </c>
      <c r="AX161" s="44" t="n"/>
    </row>
    <row r="162">
      <c r="A162" s="29" t="inlineStr">
        <is>
          <t>Bolt Sweden</t>
        </is>
      </c>
      <c r="B162" s="29" t="inlineStr">
        <is>
          <t>Sweden</t>
        </is>
      </c>
      <c r="C162" s="30" t="inlineStr">
        <is>
          <t>Stockholm (Stadshuskajen / Klara Malarstrand) → Drottningholm</t>
        </is>
      </c>
      <c r="D162" s="31" t="n">
        <v>6</v>
      </c>
      <c r="E162" s="26" t="n">
        <v>13.8</v>
      </c>
      <c r="F162" s="32" t="inlineStr">
        <is>
          <t>T2</t>
        </is>
      </c>
      <c r="G162" s="32" t="inlineStr">
        <is>
          <t>med</t>
        </is>
      </c>
      <c r="H162" s="19" t="n">
        <v>1</v>
      </c>
      <c r="I162" s="33">
        <f>60*D162/cruise_kt</f>
        <v/>
      </c>
      <c r="J162" s="33">
        <f>I162+turn_min+dwell_min</f>
        <v/>
      </c>
      <c r="K162" s="34">
        <f>MIN(10,FLOOR(60*service_hr/J162,1))</f>
        <v/>
      </c>
      <c r="L162" s="34">
        <f>ROUND(365*mech_uptime*H162,0)</f>
        <v/>
      </c>
      <c r="M162" s="35">
        <f>mech_uptime</f>
        <v/>
      </c>
      <c r="N162" s="35">
        <f>revleg_sel</f>
        <v/>
      </c>
      <c r="O162" s="34">
        <f>ROUND(K162*L162*revleg_sel,0)</f>
        <v/>
      </c>
      <c r="P162" s="36">
        <f>load_sel</f>
        <v/>
      </c>
      <c r="Q162" s="36">
        <f>pax_cap*P162</f>
        <v/>
      </c>
      <c r="R162" s="34">
        <f>Q162*O162</f>
        <v/>
      </c>
      <c r="S162" s="37">
        <f>E162*discount</f>
        <v/>
      </c>
      <c r="T162" s="38">
        <f>S162*R162</f>
        <v/>
      </c>
      <c r="U162" s="38">
        <f>(battery/range_nm)*D162*O162*VLOOKUP(B162,country_opex,3,FALSE)</f>
        <v/>
      </c>
      <c r="V162" s="38">
        <f>VLOOKUP(B162,country_opex,2,FALSE)*crew_factor</f>
        <v/>
      </c>
      <c r="W162" s="38">
        <f>VLOOKUP(B162,country_opex,5,FALSE)</f>
        <v/>
      </c>
      <c r="X162" s="38">
        <f>maint</f>
        <v/>
      </c>
      <c r="Y162" s="38">
        <f>VLOOKUP(B162,country_opex,7,FALSE)*ins_pct</f>
        <v/>
      </c>
      <c r="Z162" s="38">
        <f>charge_berth</f>
        <v/>
      </c>
      <c r="AA162" s="38">
        <f>U162+V162+W162+X162+Y162+Z162</f>
        <v/>
      </c>
      <c r="AB162" s="38">
        <f>VLOOKUP(B162,country_opex,7,FALSE)/dep_years</f>
        <v/>
      </c>
      <c r="AC162" s="38">
        <f>T162-AA162</f>
        <v/>
      </c>
      <c r="AD162" s="35">
        <f>IF(T162=0,"",AC162/T162)</f>
        <v/>
      </c>
      <c r="AE162" s="36">
        <f>IF(AC162&lt;=0,"",VLOOKUP(B162,country_opex,7,FALSE)/AC162)</f>
        <v/>
      </c>
      <c r="AF162" s="33">
        <f>((D162*O162/diesel_nmpg)*diesel_co2pg-(battery/range_nm)*D162*O162*VLOOKUP(B162,country_opex,4,FALSE))/1000</f>
        <v/>
      </c>
      <c r="AG162" s="31" t="n">
        <v>700000</v>
      </c>
      <c r="AH162" s="32" t="n"/>
      <c r="AI162" s="32" t="n"/>
      <c r="AJ162" s="39" t="n">
        <v>0.1</v>
      </c>
      <c r="AK162" s="34">
        <f>IF(AG162="","",AG162*AJ162)</f>
        <v/>
      </c>
      <c r="AL162" s="34">
        <f>IF(OR(AG162="",R162=0),"",MIN(IF(AS162="",9.9E+99,AS162),FLOOR(AK162/R162,1)))</f>
        <v/>
      </c>
      <c r="AM162" s="38">
        <f>IF(AL162="","",AL162*T162)</f>
        <v/>
      </c>
      <c r="AN162" s="36">
        <f>IF(OR(AG162="",R162=0),"",MIN(IF(AS162="",9.9E+99,AS162),AK162/R162))</f>
        <v/>
      </c>
      <c r="AO162" s="38">
        <f>IF(AN162="","",AN162*T162)</f>
        <v/>
      </c>
      <c r="AP162" s="40" t="n"/>
      <c r="AQ162" s="41" t="n"/>
      <c r="AR162" s="41" t="n"/>
      <c r="AS162" s="42" t="n"/>
      <c r="AT162" s="43">
        <f>IF(((S162*pax_cap*load_thin*ROUND(K162*L162*revleg_thin,0))-(((battery/range_nm)*D162*ROUND(K162*L162*revleg_thin,0)*VLOOKUP(B162,country_opex,3,FALSE))+V162+W162+X162+Y162+Z162))&lt;=0,"",VLOOKUP(B162,country_opex,7,FALSE)/((S162*pax_cap*load_thin*ROUND(K162*L162*revleg_thin,0))-(((battery/range_nm)*D162*ROUND(K162*L162*revleg_thin,0)*VLOOKUP(B162,country_opex,3,FALSE))+V162+W162+X162+Y162+Z162)))</f>
        <v/>
      </c>
      <c r="AU162" s="43">
        <f>IF(((S162*pax_cap*load_mid*ROUND(K162*L162*revleg_mid,0))-(((battery/range_nm)*D162*ROUND(K162*L162*revleg_mid,0)*VLOOKUP(B162,country_opex,3,FALSE))+V162+W162+X162+Y162+Z162))&lt;=0,"",VLOOKUP(B162,country_opex,7,FALSE)/((S162*pax_cap*load_mid*ROUND(K162*L162*revleg_mid,0))-(((battery/range_nm)*D162*ROUND(K162*L162*revleg_mid,0)*VLOOKUP(B162,country_opex,3,FALSE))+V162+W162+X162+Y162+Z162)))</f>
        <v/>
      </c>
      <c r="AV162" s="43">
        <f>IF(((S162*pax_cap*load_full*ROUND(K162*L162*revleg_full,0))-(((battery/range_nm)*D162*ROUND(K162*L162*revleg_full,0)*VLOOKUP(B162,country_opex,3,FALSE))+V162+W162+X162+Y162+Z162))&lt;=0,"",VLOOKUP(B162,country_opex,7,FALSE)/((S162*pax_cap*load_full*ROUND(K162*L162*revleg_full,0))-(((battery/range_nm)*D162*ROUND(K162*L162*revleg_full,0)*VLOOKUP(B162,country_opex,3,FALSE))+V162+W162+X162+Y162+Z162)))</f>
        <v/>
      </c>
      <c r="AW162" s="44" t="inlineStr">
        <is>
          <t>PREMIUM tier: Stromma Klara Malarstrand/Stadshuskajen-&gt;Drottningholm scenic steamer; return ferry ~SEK 220 (2026) -&gt; one-way ~SEK 145 = $13.8. (Historic 2017 quote: SEK 210 return.)</t>
        </is>
      </c>
      <c r="AX162" s="44" t="n"/>
    </row>
    <row r="163">
      <c r="A163" s="29" t="inlineStr">
        <is>
          <t>Bolt Sweden</t>
        </is>
      </c>
      <c r="B163" s="29" t="inlineStr">
        <is>
          <t>Sweden</t>
        </is>
      </c>
      <c r="C163" s="30" t="inlineStr">
        <is>
          <t>Stockholm (Klara Malarstrand) → Ekero (Tappstrom)</t>
        </is>
      </c>
      <c r="D163" s="31" t="n">
        <v>8.6</v>
      </c>
      <c r="E163" s="26" t="n">
        <v>18</v>
      </c>
      <c r="F163" s="32" t="inlineStr">
        <is>
          <t>T2</t>
        </is>
      </c>
      <c r="G163" s="32" t="inlineStr">
        <is>
          <t>med</t>
        </is>
      </c>
      <c r="H163" s="19" t="n">
        <v>1</v>
      </c>
      <c r="I163" s="33">
        <f>60*D163/cruise_kt</f>
        <v/>
      </c>
      <c r="J163" s="33">
        <f>I163+turn_min+dwell_min</f>
        <v/>
      </c>
      <c r="K163" s="34">
        <f>MIN(16,FLOOR(60*service_hr/J163,1))</f>
        <v/>
      </c>
      <c r="L163" s="34">
        <f>ROUND(365*mech_uptime*H163,0)</f>
        <v/>
      </c>
      <c r="M163" s="35">
        <f>mech_uptime</f>
        <v/>
      </c>
      <c r="N163" s="35">
        <f>revleg_sel</f>
        <v/>
      </c>
      <c r="O163" s="34">
        <f>ROUND(K163*L163*revleg_sel,0)</f>
        <v/>
      </c>
      <c r="P163" s="36">
        <f>load_sel</f>
        <v/>
      </c>
      <c r="Q163" s="36">
        <f>pax_cap*P163</f>
        <v/>
      </c>
      <c r="R163" s="34">
        <f>Q163*O163</f>
        <v/>
      </c>
      <c r="S163" s="37">
        <f>E163*discount</f>
        <v/>
      </c>
      <c r="T163" s="38">
        <f>S163*R163</f>
        <v/>
      </c>
      <c r="U163" s="38">
        <f>(battery/range_nm)*D163*O163*VLOOKUP(B163,country_opex,3,FALSE)</f>
        <v/>
      </c>
      <c r="V163" s="38">
        <f>VLOOKUP(B163,country_opex,2,FALSE)*crew_factor</f>
        <v/>
      </c>
      <c r="W163" s="38">
        <f>VLOOKUP(B163,country_opex,5,FALSE)</f>
        <v/>
      </c>
      <c r="X163" s="38">
        <f>maint</f>
        <v/>
      </c>
      <c r="Y163" s="38">
        <f>VLOOKUP(B163,country_opex,7,FALSE)*ins_pct</f>
        <v/>
      </c>
      <c r="Z163" s="38">
        <f>charge_berth</f>
        <v/>
      </c>
      <c r="AA163" s="38">
        <f>U163+V163+W163+X163+Y163+Z163</f>
        <v/>
      </c>
      <c r="AB163" s="38">
        <f>VLOOKUP(B163,country_opex,7,FALSE)/dep_years</f>
        <v/>
      </c>
      <c r="AC163" s="38">
        <f>T163-AA163</f>
        <v/>
      </c>
      <c r="AD163" s="35">
        <f>IF(T163=0,"",AC163/T163)</f>
        <v/>
      </c>
      <c r="AE163" s="36">
        <f>IF(AC163&lt;=0,"",VLOOKUP(B163,country_opex,7,FALSE)/AC163)</f>
        <v/>
      </c>
      <c r="AF163" s="33">
        <f>((D163*O163/diesel_nmpg)*diesel_co2pg-(battery/range_nm)*D163*O163*VLOOKUP(B163,country_opex,4,FALSE))/1000</f>
        <v/>
      </c>
      <c r="AG163" s="31" t="n">
        <v>23673</v>
      </c>
      <c r="AH163" s="32" t="n"/>
      <c r="AI163" s="32" t="inlineStr">
        <is>
          <t>med</t>
        </is>
      </c>
      <c r="AJ163" s="39" t="n">
        <v>0.25</v>
      </c>
      <c r="AK163" s="34">
        <f>IF(AG163="","",AG163*AJ163)</f>
        <v/>
      </c>
      <c r="AL163" s="34">
        <f>IF(OR(AG163="",R163=0),"",MIN(IF(AS163="",9.9E+99,AS163),FLOOR(AK163/R163,1)))</f>
        <v/>
      </c>
      <c r="AM163" s="38">
        <f>IF(AL163="","",AL163*T163)</f>
        <v/>
      </c>
      <c r="AN163" s="36">
        <f>IF(OR(AG163="",R163=0),"",MIN(IF(AS163="",9.9E+99,AS163),AK163/R163))</f>
        <v/>
      </c>
      <c r="AO163" s="38">
        <f>IF(AN163="","",AN163*T163)</f>
        <v/>
      </c>
      <c r="AP163" s="40" t="n"/>
      <c r="AQ163" s="41" t="n"/>
      <c r="AR163" s="41" t="n"/>
      <c r="AS163" s="42" t="n"/>
      <c r="AT163" s="43">
        <f>IF(((S163*pax_cap*load_thin*ROUND(K163*L163*revleg_thin,0))-(((battery/range_nm)*D163*ROUND(K163*L163*revleg_thin,0)*VLOOKUP(B163,country_opex,3,FALSE))+V163+W163+X163+Y163+Z163))&lt;=0,"",VLOOKUP(B163,country_opex,7,FALSE)/((S163*pax_cap*load_thin*ROUND(K163*L163*revleg_thin,0))-(((battery/range_nm)*D163*ROUND(K163*L163*revleg_thin,0)*VLOOKUP(B163,country_opex,3,FALSE))+V163+W163+X163+Y163+Z163)))</f>
        <v/>
      </c>
      <c r="AU163" s="43">
        <f>IF(((S163*pax_cap*load_mid*ROUND(K163*L163*revleg_mid,0))-(((battery/range_nm)*D163*ROUND(K163*L163*revleg_mid,0)*VLOOKUP(B163,country_opex,3,FALSE))+V163+W163+X163+Y163+Z163))&lt;=0,"",VLOOKUP(B163,country_opex,7,FALSE)/((S163*pax_cap*load_mid*ROUND(K163*L163*revleg_mid,0))-(((battery/range_nm)*D163*ROUND(K163*L163*revleg_mid,0)*VLOOKUP(B163,country_opex,3,FALSE))+V163+W163+X163+Y163+Z163)))</f>
        <v/>
      </c>
      <c r="AV163" s="43">
        <f>IF(((S163*pax_cap*load_full*ROUND(K163*L163*revleg_full,0))-(((battery/range_nm)*D163*ROUND(K163*L163*revleg_full,0)*VLOOKUP(B163,country_opex,3,FALSE))+V163+W163+X163+Y163+Z163))&lt;=0,"",VLOOKUP(B163,country_opex,7,FALSE)/((S163*pax_cap*load_full*ROUND(K163*L163*revleg_full,0))-(((battery/range_nm)*D163*ROUND(K163*L163*revleg_full,0)*VLOOKUP(B163,country_opex,3,FALSE))+V163+W163+X163+Y163+Z163)))</f>
        <v/>
      </c>
      <c r="AW163" s="44" t="inlineStr">
        <is>
          <t>[LB-255 PREMIUM RE-FARE: subsidized comparable $4.1 lifted to premium on-demand floor $18.0] SL single ticket SEK 43 (2025). SL mass-transit commuter boat; no premium tier. SEK 43 x 0.0952 = $4.1.</t>
        </is>
      </c>
      <c r="AX163" s="44" t="n"/>
    </row>
    <row r="164">
      <c r="A164" s="29" t="inlineStr">
        <is>
          <t>Bolt Sweden</t>
        </is>
      </c>
      <c r="B164" s="29" t="inlineStr">
        <is>
          <t>Sweden</t>
        </is>
      </c>
      <c r="C164" s="30" t="inlineStr">
        <is>
          <t>Stockholm → Saltsjobaden (Nacka)</t>
        </is>
      </c>
      <c r="D164" s="31" t="n">
        <v>9</v>
      </c>
      <c r="E164" s="26" t="n"/>
      <c r="F164" s="32" t="n"/>
      <c r="G164" s="32" t="n"/>
      <c r="H164" s="19" t="n">
        <v>1</v>
      </c>
      <c r="I164" s="33">
        <f>60*D164/cruise_kt</f>
        <v/>
      </c>
      <c r="J164" s="33">
        <f>I164+turn_min+dwell_min</f>
        <v/>
      </c>
      <c r="K164" s="34">
        <f>MIN(16,FLOOR(60*service_hr/J164,1))</f>
        <v/>
      </c>
      <c r="L164" s="34">
        <f>ROUND(365*mech_uptime*H164,0)</f>
        <v/>
      </c>
      <c r="M164" s="35">
        <f>mech_uptime</f>
        <v/>
      </c>
      <c r="N164" s="35">
        <f>revleg_sel</f>
        <v/>
      </c>
      <c r="O164" s="34">
        <f>ROUND(K164*L164*revleg_sel,0)</f>
        <v/>
      </c>
      <c r="P164" s="36">
        <f>load_sel</f>
        <v/>
      </c>
      <c r="Q164" s="36">
        <f>pax_cap*P164</f>
        <v/>
      </c>
      <c r="R164" s="34">
        <f>Q164*O164</f>
        <v/>
      </c>
      <c r="S164" s="37">
        <f>E164*discount</f>
        <v/>
      </c>
      <c r="T164" s="38">
        <f>S164*R164</f>
        <v/>
      </c>
      <c r="U164" s="38">
        <f>(battery/range_nm)*D164*O164*VLOOKUP(B164,country_opex,3,FALSE)</f>
        <v/>
      </c>
      <c r="V164" s="38">
        <f>VLOOKUP(B164,country_opex,2,FALSE)*crew_factor</f>
        <v/>
      </c>
      <c r="W164" s="38">
        <f>VLOOKUP(B164,country_opex,5,FALSE)</f>
        <v/>
      </c>
      <c r="X164" s="38">
        <f>maint</f>
        <v/>
      </c>
      <c r="Y164" s="38">
        <f>VLOOKUP(B164,country_opex,7,FALSE)*ins_pct</f>
        <v/>
      </c>
      <c r="Z164" s="38">
        <f>charge_berth</f>
        <v/>
      </c>
      <c r="AA164" s="38">
        <f>U164+V164+W164+X164+Y164+Z164</f>
        <v/>
      </c>
      <c r="AB164" s="38">
        <f>VLOOKUP(B164,country_opex,7,FALSE)/dep_years</f>
        <v/>
      </c>
      <c r="AC164" s="38">
        <f>T164-AA164</f>
        <v/>
      </c>
      <c r="AD164" s="35">
        <f>IF(T164=0,"",AC164/T164)</f>
        <v/>
      </c>
      <c r="AE164" s="36">
        <f>IF(AC164&lt;=0,"",VLOOKUP(B164,country_opex,7,FALSE)/AC164)</f>
        <v/>
      </c>
      <c r="AF164" s="33">
        <f>((D164*O164/diesel_nmpg)*diesel_co2pg-(battery/range_nm)*D164*O164*VLOOKUP(B164,country_opex,4,FALSE))/1000</f>
        <v/>
      </c>
      <c r="AG164" s="31" t="n"/>
      <c r="AH164" s="32" t="n"/>
      <c r="AI164" s="32" t="n"/>
      <c r="AJ164" s="39" t="n">
        <v>0.1</v>
      </c>
      <c r="AK164" s="34">
        <f>IF(AG164="","",AG164*AJ164)</f>
        <v/>
      </c>
      <c r="AL164" s="34">
        <f>IF(OR(AG164="",R164=0),"",MIN(IF(AS164="",9.9E+99,AS164),FLOOR(AK164/R164,1)))</f>
        <v/>
      </c>
      <c r="AM164" s="38">
        <f>IF(AL164="","",AL164*T164)</f>
        <v/>
      </c>
      <c r="AN164" s="36">
        <f>IF(OR(AG164="",R164=0),"",MIN(IF(AS164="",9.9E+99,AS164),AK164/R164))</f>
        <v/>
      </c>
      <c r="AO164" s="38">
        <f>IF(AN164="","",AN164*T164)</f>
        <v/>
      </c>
      <c r="AP164" s="40" t="n"/>
      <c r="AQ164" s="41" t="n"/>
      <c r="AR164" s="41" t="n"/>
      <c r="AS164" s="42" t="n"/>
      <c r="AT164" s="43">
        <f>IF(((S164*pax_cap*load_thin*ROUND(K164*L164*revleg_thin,0))-(((battery/range_nm)*D164*ROUND(K164*L164*revleg_thin,0)*VLOOKUP(B164,country_opex,3,FALSE))+V164+W164+X164+Y164+Z164))&lt;=0,"",VLOOKUP(B164,country_opex,7,FALSE)/((S164*pax_cap*load_thin*ROUND(K164*L164*revleg_thin,0))-(((battery/range_nm)*D164*ROUND(K164*L164*revleg_thin,0)*VLOOKUP(B164,country_opex,3,FALSE))+V164+W164+X164+Y164+Z164)))</f>
        <v/>
      </c>
      <c r="AU164" s="43">
        <f>IF(((S164*pax_cap*load_mid*ROUND(K164*L164*revleg_mid,0))-(((battery/range_nm)*D164*ROUND(K164*L164*revleg_mid,0)*VLOOKUP(B164,country_opex,3,FALSE))+V164+W164+X164+Y164+Z164))&lt;=0,"",VLOOKUP(B164,country_opex,7,FALSE)/((S164*pax_cap*load_mid*ROUND(K164*L164*revleg_mid,0))-(((battery/range_nm)*D164*ROUND(K164*L164*revleg_mid,0)*VLOOKUP(B164,country_opex,3,FALSE))+V164+W164+X164+Y164+Z164)))</f>
        <v/>
      </c>
      <c r="AV164" s="43">
        <f>IF(((S164*pax_cap*load_full*ROUND(K164*L164*revleg_full,0))-(((battery/range_nm)*D164*ROUND(K164*L164*revleg_full,0)*VLOOKUP(B164,country_opex,3,FALSE))+V164+W164+X164+Y164+Z164))&lt;=0,"",VLOOKUP(B164,country_opex,7,FALSE)/((S164*pax_cap*load_full*ROUND(K164*L164*revleg_full,0))-(((battery/range_nm)*D164*ROUND(K164*L164*revleg_full,0)*VLOOKUP(B164,country_opex,3,FALSE))+V164+W164+X164+Y164+Z164)))</f>
        <v/>
      </c>
      <c r="AW164" s="44" t="n"/>
      <c r="AX164" s="44" t="n"/>
    </row>
    <row r="165">
      <c r="A165" s="29" t="inlineStr">
        <is>
          <t>Bolt Sweden</t>
        </is>
      </c>
      <c r="B165" s="29" t="inlineStr">
        <is>
          <t>Sweden</t>
        </is>
      </c>
      <c r="C165" s="30" t="inlineStr">
        <is>
          <t>Stockholm (Stromkajen) → Alstaket (Varmdo)</t>
        </is>
      </c>
      <c r="D165" s="31" t="n">
        <v>11</v>
      </c>
      <c r="E165" s="26" t="n">
        <v>18</v>
      </c>
      <c r="F165" s="32" t="inlineStr">
        <is>
          <t>T2</t>
        </is>
      </c>
      <c r="G165" s="32" t="inlineStr">
        <is>
          <t>med</t>
        </is>
      </c>
      <c r="H165" s="19" t="n">
        <v>1</v>
      </c>
      <c r="I165" s="33">
        <f>60*D165/cruise_kt</f>
        <v/>
      </c>
      <c r="J165" s="33">
        <f>I165+turn_min+dwell_min</f>
        <v/>
      </c>
      <c r="K165" s="34">
        <f>MIN(16,FLOOR(60*service_hr/J165,1))</f>
        <v/>
      </c>
      <c r="L165" s="34">
        <f>ROUND(365*mech_uptime*H165,0)</f>
        <v/>
      </c>
      <c r="M165" s="35">
        <f>mech_uptime</f>
        <v/>
      </c>
      <c r="N165" s="35">
        <f>revleg_sel</f>
        <v/>
      </c>
      <c r="O165" s="34">
        <f>ROUND(K165*L165*revleg_sel,0)</f>
        <v/>
      </c>
      <c r="P165" s="36">
        <f>load_sel</f>
        <v/>
      </c>
      <c r="Q165" s="36">
        <f>pax_cap*P165</f>
        <v/>
      </c>
      <c r="R165" s="34">
        <f>Q165*O165</f>
        <v/>
      </c>
      <c r="S165" s="37">
        <f>E165*discount</f>
        <v/>
      </c>
      <c r="T165" s="38">
        <f>S165*R165</f>
        <v/>
      </c>
      <c r="U165" s="38">
        <f>(battery/range_nm)*D165*O165*VLOOKUP(B165,country_opex,3,FALSE)</f>
        <v/>
      </c>
      <c r="V165" s="38">
        <f>VLOOKUP(B165,country_opex,2,FALSE)*crew_factor</f>
        <v/>
      </c>
      <c r="W165" s="38">
        <f>VLOOKUP(B165,country_opex,5,FALSE)</f>
        <v/>
      </c>
      <c r="X165" s="38">
        <f>maint</f>
        <v/>
      </c>
      <c r="Y165" s="38">
        <f>VLOOKUP(B165,country_opex,7,FALSE)*ins_pct</f>
        <v/>
      </c>
      <c r="Z165" s="38">
        <f>charge_berth</f>
        <v/>
      </c>
      <c r="AA165" s="38">
        <f>U165+V165+W165+X165+Y165+Z165</f>
        <v/>
      </c>
      <c r="AB165" s="38">
        <f>VLOOKUP(B165,country_opex,7,FALSE)/dep_years</f>
        <v/>
      </c>
      <c r="AC165" s="38">
        <f>T165-AA165</f>
        <v/>
      </c>
      <c r="AD165" s="35">
        <f>IF(T165=0,"",AC165/T165)</f>
        <v/>
      </c>
      <c r="AE165" s="36">
        <f>IF(AC165&lt;=0,"",VLOOKUP(B165,country_opex,7,FALSE)/AC165)</f>
        <v/>
      </c>
      <c r="AF165" s="33">
        <f>((D165*O165/diesel_nmpg)*diesel_co2pg-(battery/range_nm)*D165*O165*VLOOKUP(B165,country_opex,4,FALSE))/1000</f>
        <v/>
      </c>
      <c r="AG165" s="31" t="n">
        <v>13761</v>
      </c>
      <c r="AH165" s="32" t="n"/>
      <c r="AI165" s="32" t="inlineStr">
        <is>
          <t>med</t>
        </is>
      </c>
      <c r="AJ165" s="39" t="n">
        <v>0.25</v>
      </c>
      <c r="AK165" s="34">
        <f>IF(AG165="","",AG165*AJ165)</f>
        <v/>
      </c>
      <c r="AL165" s="34">
        <f>IF(OR(AG165="",R165=0),"",MIN(IF(AS165="",9.9E+99,AS165),FLOOR(AK165/R165,1)))</f>
        <v/>
      </c>
      <c r="AM165" s="38">
        <f>IF(AL165="","",AL165*T165)</f>
        <v/>
      </c>
      <c r="AN165" s="36">
        <f>IF(OR(AG165="",R165=0),"",MIN(IF(AS165="",9.9E+99,AS165),AK165/R165))</f>
        <v/>
      </c>
      <c r="AO165" s="38">
        <f>IF(AN165="","",AN165*T165)</f>
        <v/>
      </c>
      <c r="AP165" s="40" t="n"/>
      <c r="AQ165" s="41" t="n"/>
      <c r="AR165" s="41" t="n"/>
      <c r="AS165" s="42" t="n"/>
      <c r="AT165" s="43">
        <f>IF(((S165*pax_cap*load_thin*ROUND(K165*L165*revleg_thin,0))-(((battery/range_nm)*D165*ROUND(K165*L165*revleg_thin,0)*VLOOKUP(B165,country_opex,3,FALSE))+V165+W165+X165+Y165+Z165))&lt;=0,"",VLOOKUP(B165,country_opex,7,FALSE)/((S165*pax_cap*load_thin*ROUND(K165*L165*revleg_thin,0))-(((battery/range_nm)*D165*ROUND(K165*L165*revleg_thin,0)*VLOOKUP(B165,country_opex,3,FALSE))+V165+W165+X165+Y165+Z165)))</f>
        <v/>
      </c>
      <c r="AU165" s="43">
        <f>IF(((S165*pax_cap*load_mid*ROUND(K165*L165*revleg_mid,0))-(((battery/range_nm)*D165*ROUND(K165*L165*revleg_mid,0)*VLOOKUP(B165,country_opex,3,FALSE))+V165+W165+X165+Y165+Z165))&lt;=0,"",VLOOKUP(B165,country_opex,7,FALSE)/((S165*pax_cap*load_mid*ROUND(K165*L165*revleg_mid,0))-(((battery/range_nm)*D165*ROUND(K165*L165*revleg_mid,0)*VLOOKUP(B165,country_opex,3,FALSE))+V165+W165+X165+Y165+Z165)))</f>
        <v/>
      </c>
      <c r="AV165" s="43">
        <f>IF(((S165*pax_cap*load_full*ROUND(K165*L165*revleg_full,0))-(((battery/range_nm)*D165*ROUND(K165*L165*revleg_full,0)*VLOOKUP(B165,country_opex,3,FALSE))+V165+W165+X165+Y165+Z165))&lt;=0,"",VLOOKUP(B165,country_opex,7,FALSE)/((S165*pax_cap*load_full*ROUND(K165*L165*revleg_full,0))-(((battery/range_nm)*D165*ROUND(K165*L165*revleg_full,0)*VLOOKUP(B165,country_opex,3,FALSE))+V165+W165+X165+Y165+Z165)))</f>
        <v/>
      </c>
      <c r="AW165" s="44" t="inlineStr">
        <is>
          <t>[LB-255 PREMIUM RE-FARE: subsidized comparable $4.1 lifted to premium on-demand floor $18.0] SL single ticket SEK 43 (2025). SL mass-transit commuter boat; no premium tier. SEK 43 x 0.0952 = $4.1.</t>
        </is>
      </c>
      <c r="AX165" s="44" t="n"/>
    </row>
    <row r="166">
      <c r="A166" s="29" t="inlineStr">
        <is>
          <t>Bolt Sweden</t>
        </is>
      </c>
      <c r="B166" s="29" t="inlineStr">
        <is>
          <t>Sweden</t>
        </is>
      </c>
      <c r="C166" s="30" t="inlineStr">
        <is>
          <t>Stockholm City → Vaxholm</t>
        </is>
      </c>
      <c r="D166" s="31" t="n">
        <v>12</v>
      </c>
      <c r="E166" s="26" t="n">
        <v>18.1</v>
      </c>
      <c r="F166" s="32" t="inlineStr">
        <is>
          <t>T2</t>
        </is>
      </c>
      <c r="G166" s="32" t="inlineStr">
        <is>
          <t>med</t>
        </is>
      </c>
      <c r="H166" s="19" t="n">
        <v>1</v>
      </c>
      <c r="I166" s="33">
        <f>60*D166/cruise_kt</f>
        <v/>
      </c>
      <c r="J166" s="33">
        <f>I166+turn_min+dwell_min</f>
        <v/>
      </c>
      <c r="K166" s="34">
        <f>MIN(10,FLOOR(60*service_hr/J166,1))</f>
        <v/>
      </c>
      <c r="L166" s="34">
        <f>ROUND(365*mech_uptime*H166,0)</f>
        <v/>
      </c>
      <c r="M166" s="35">
        <f>mech_uptime</f>
        <v/>
      </c>
      <c r="N166" s="35">
        <f>revleg_sel</f>
        <v/>
      </c>
      <c r="O166" s="34">
        <f>ROUND(K166*L166*revleg_sel,0)</f>
        <v/>
      </c>
      <c r="P166" s="36">
        <f>load_sel</f>
        <v/>
      </c>
      <c r="Q166" s="36">
        <f>pax_cap*P166</f>
        <v/>
      </c>
      <c r="R166" s="34">
        <f>Q166*O166</f>
        <v/>
      </c>
      <c r="S166" s="37">
        <f>E166*discount</f>
        <v/>
      </c>
      <c r="T166" s="38">
        <f>S166*R166</f>
        <v/>
      </c>
      <c r="U166" s="38">
        <f>(battery/range_nm)*D166*O166*VLOOKUP(B166,country_opex,3,FALSE)</f>
        <v/>
      </c>
      <c r="V166" s="38">
        <f>VLOOKUP(B166,country_opex,2,FALSE)*crew_factor</f>
        <v/>
      </c>
      <c r="W166" s="38">
        <f>VLOOKUP(B166,country_opex,5,FALSE)</f>
        <v/>
      </c>
      <c r="X166" s="38">
        <f>maint</f>
        <v/>
      </c>
      <c r="Y166" s="38">
        <f>VLOOKUP(B166,country_opex,7,FALSE)*ins_pct</f>
        <v/>
      </c>
      <c r="Z166" s="38">
        <f>charge_berth</f>
        <v/>
      </c>
      <c r="AA166" s="38">
        <f>U166+V166+W166+X166+Y166+Z166</f>
        <v/>
      </c>
      <c r="AB166" s="38">
        <f>VLOOKUP(B166,country_opex,7,FALSE)/dep_years</f>
        <v/>
      </c>
      <c r="AC166" s="38">
        <f>T166-AA166</f>
        <v/>
      </c>
      <c r="AD166" s="35">
        <f>IF(T166=0,"",AC166/T166)</f>
        <v/>
      </c>
      <c r="AE166" s="36">
        <f>IF(AC166&lt;=0,"",VLOOKUP(B166,country_opex,7,FALSE)/AC166)</f>
        <v/>
      </c>
      <c r="AF166" s="33">
        <f>((D166*O166/diesel_nmpg)*diesel_co2pg-(battery/range_nm)*D166*O166*VLOOKUP(B166,country_opex,4,FALSE))/1000</f>
        <v/>
      </c>
      <c r="AG166" s="31" t="n">
        <v>365855</v>
      </c>
      <c r="AH166" s="32" t="n"/>
      <c r="AI166" s="32" t="n"/>
      <c r="AJ166" s="39" t="n">
        <v>0.1</v>
      </c>
      <c r="AK166" s="34">
        <f>IF(AG166="","",AG166*AJ166)</f>
        <v/>
      </c>
      <c r="AL166" s="34">
        <f>IF(OR(AG166="",R166=0),"",MIN(IF(AS166="",9.9E+99,AS166),FLOOR(AK166/R166,1)))</f>
        <v/>
      </c>
      <c r="AM166" s="38">
        <f>IF(AL166="","",AL166*T166)</f>
        <v/>
      </c>
      <c r="AN166" s="36">
        <f>IF(OR(AG166="",R166=0),"",MIN(IF(AS166="",9.9E+99,AS166),AK166/R166))</f>
        <v/>
      </c>
      <c r="AO166" s="38">
        <f>IF(AN166="","",AN166*T166)</f>
        <v/>
      </c>
      <c r="AP166" s="40" t="n"/>
      <c r="AQ166" s="41" t="n"/>
      <c r="AR166" s="41" t="n"/>
      <c r="AS166" s="42" t="n"/>
      <c r="AT166" s="43">
        <f>IF(((S166*pax_cap*load_thin*ROUND(K166*L166*revleg_thin,0))-(((battery/range_nm)*D166*ROUND(K166*L166*revleg_thin,0)*VLOOKUP(B166,country_opex,3,FALSE))+V166+W166+X166+Y166+Z166))&lt;=0,"",VLOOKUP(B166,country_opex,7,FALSE)/((S166*pax_cap*load_thin*ROUND(K166*L166*revleg_thin,0))-(((battery/range_nm)*D166*ROUND(K166*L166*revleg_thin,0)*VLOOKUP(B166,country_opex,3,FALSE))+V166+W166+X166+Y166+Z166)))</f>
        <v/>
      </c>
      <c r="AU166" s="43">
        <f>IF(((S166*pax_cap*load_mid*ROUND(K166*L166*revleg_mid,0))-(((battery/range_nm)*D166*ROUND(K166*L166*revleg_mid,0)*VLOOKUP(B166,country_opex,3,FALSE))+V166+W166+X166+Y166+Z166))&lt;=0,"",VLOOKUP(B166,country_opex,7,FALSE)/((S166*pax_cap*load_mid*ROUND(K166*L166*revleg_mid,0))-(((battery/range_nm)*D166*ROUND(K166*L166*revleg_mid,0)*VLOOKUP(B166,country_opex,3,FALSE))+V166+W166+X166+Y166+Z166)))</f>
        <v/>
      </c>
      <c r="AV166" s="43">
        <f>IF(((S166*pax_cap*load_full*ROUND(K166*L166*revleg_full,0))-(((battery/range_nm)*D166*ROUND(K166*L166*revleg_full,0)*VLOOKUP(B166,country_opex,3,FALSE))+V166+W166+X166+Y166+Z166))&lt;=0,"",VLOOKUP(B166,country_opex,7,FALSE)/((S166*pax_cap*load_full*ROUND(K166*L166*revleg_full,0))-(((battery/range_nm)*D166*ROUND(K166*L166*revleg_full,0)*VLOOKUP(B166,country_opex,3,FALSE))+V166+W166+X166+Y166+Z166)))</f>
        <v/>
      </c>
      <c r="AW166" s="44" t="inlineStr">
        <is>
          <t>PREMIUM tier: Stromma Cinderellabatarna one-way adult seat Strandvagen-&gt;Vaxholm from SEK 190 (2026 tariff). SEK 190 x 0.0952 = $18.1.</t>
        </is>
      </c>
      <c r="AX166" s="44" t="n"/>
    </row>
    <row r="167">
      <c r="A167" s="29" t="inlineStr">
        <is>
          <t>Bolt Sweden</t>
        </is>
      </c>
      <c r="B167" s="29" t="inlineStr">
        <is>
          <t>Sweden</t>
        </is>
      </c>
      <c r="C167" s="30" t="inlineStr">
        <is>
          <t>Stockholm (Strandvagen) → Grinda</t>
        </is>
      </c>
      <c r="D167" s="31" t="n">
        <v>19</v>
      </c>
      <c r="E167" s="26" t="n">
        <v>22.4</v>
      </c>
      <c r="F167" s="32" t="inlineStr">
        <is>
          <t>T2</t>
        </is>
      </c>
      <c r="G167" s="32" t="inlineStr">
        <is>
          <t>med</t>
        </is>
      </c>
      <c r="H167" s="19" t="n">
        <v>1</v>
      </c>
      <c r="I167" s="33">
        <f>60*D167/cruise_kt</f>
        <v/>
      </c>
      <c r="J167" s="33">
        <f>I167+turn_min+dwell_min</f>
        <v/>
      </c>
      <c r="K167" s="34">
        <f>MIN(10,FLOOR(60*service_hr/J167,1))</f>
        <v/>
      </c>
      <c r="L167" s="34">
        <f>ROUND(365*mech_uptime*H167,0)</f>
        <v/>
      </c>
      <c r="M167" s="35">
        <f>mech_uptime</f>
        <v/>
      </c>
      <c r="N167" s="35">
        <f>revleg_sel</f>
        <v/>
      </c>
      <c r="O167" s="34">
        <f>ROUND(K167*L167*revleg_sel,0)</f>
        <v/>
      </c>
      <c r="P167" s="36">
        <f>load_sel</f>
        <v/>
      </c>
      <c r="Q167" s="36">
        <f>pax_cap*P167</f>
        <v/>
      </c>
      <c r="R167" s="34">
        <f>Q167*O167</f>
        <v/>
      </c>
      <c r="S167" s="37">
        <f>E167*discount</f>
        <v/>
      </c>
      <c r="T167" s="38">
        <f>S167*R167</f>
        <v/>
      </c>
      <c r="U167" s="38">
        <f>(battery/range_nm)*D167*O167*VLOOKUP(B167,country_opex,3,FALSE)</f>
        <v/>
      </c>
      <c r="V167" s="38">
        <f>VLOOKUP(B167,country_opex,2,FALSE)*crew_factor</f>
        <v/>
      </c>
      <c r="W167" s="38">
        <f>VLOOKUP(B167,country_opex,5,FALSE)</f>
        <v/>
      </c>
      <c r="X167" s="38">
        <f>maint</f>
        <v/>
      </c>
      <c r="Y167" s="38">
        <f>VLOOKUP(B167,country_opex,7,FALSE)*ins_pct</f>
        <v/>
      </c>
      <c r="Z167" s="38">
        <f>charge_berth</f>
        <v/>
      </c>
      <c r="AA167" s="38">
        <f>U167+V167+W167+X167+Y167+Z167</f>
        <v/>
      </c>
      <c r="AB167" s="38">
        <f>VLOOKUP(B167,country_opex,7,FALSE)/dep_years</f>
        <v/>
      </c>
      <c r="AC167" s="38">
        <f>T167-AA167</f>
        <v/>
      </c>
      <c r="AD167" s="35">
        <f>IF(T167=0,"",AC167/T167)</f>
        <v/>
      </c>
      <c r="AE167" s="36">
        <f>IF(AC167&lt;=0,"",VLOOKUP(B167,country_opex,7,FALSE)/AC167)</f>
        <v/>
      </c>
      <c r="AF167" s="33">
        <f>((D167*O167/diesel_nmpg)*diesel_co2pg-(battery/range_nm)*D167*O167*VLOOKUP(B167,country_opex,4,FALSE))/1000</f>
        <v/>
      </c>
      <c r="AG167" s="31" t="n"/>
      <c r="AH167" s="32" t="n"/>
      <c r="AI167" s="32" t="n"/>
      <c r="AJ167" s="39" t="n">
        <v>0.1</v>
      </c>
      <c r="AK167" s="34">
        <f>IF(AG167="","",AG167*AJ167)</f>
        <v/>
      </c>
      <c r="AL167" s="34">
        <f>IF(OR(AG167="",R167=0),"",MIN(IF(AS167="",9.9E+99,AS167),FLOOR(AK167/R167,1)))</f>
        <v/>
      </c>
      <c r="AM167" s="38">
        <f>IF(AL167="","",AL167*T167)</f>
        <v/>
      </c>
      <c r="AN167" s="36">
        <f>IF(OR(AG167="",R167=0),"",MIN(IF(AS167="",9.9E+99,AS167),AK167/R167))</f>
        <v/>
      </c>
      <c r="AO167" s="38">
        <f>IF(AN167="","",AN167*T167)</f>
        <v/>
      </c>
      <c r="AP167" s="40" t="n"/>
      <c r="AQ167" s="41" t="n"/>
      <c r="AR167" s="41" t="n"/>
      <c r="AS167" s="42" t="n"/>
      <c r="AT167" s="43">
        <f>IF(((S167*pax_cap*load_thin*ROUND(K167*L167*revleg_thin,0))-(((battery/range_nm)*D167*ROUND(K167*L167*revleg_thin,0)*VLOOKUP(B167,country_opex,3,FALSE))+V167+W167+X167+Y167+Z167))&lt;=0,"",VLOOKUP(B167,country_opex,7,FALSE)/((S167*pax_cap*load_thin*ROUND(K167*L167*revleg_thin,0))-(((battery/range_nm)*D167*ROUND(K167*L167*revleg_thin,0)*VLOOKUP(B167,country_opex,3,FALSE))+V167+W167+X167+Y167+Z167)))</f>
        <v/>
      </c>
      <c r="AU167" s="43">
        <f>IF(((S167*pax_cap*load_mid*ROUND(K167*L167*revleg_mid,0))-(((battery/range_nm)*D167*ROUND(K167*L167*revleg_mid,0)*VLOOKUP(B167,country_opex,3,FALSE))+V167+W167+X167+Y167+Z167))&lt;=0,"",VLOOKUP(B167,country_opex,7,FALSE)/((S167*pax_cap*load_mid*ROUND(K167*L167*revleg_mid,0))-(((battery/range_nm)*D167*ROUND(K167*L167*revleg_mid,0)*VLOOKUP(B167,country_opex,3,FALSE))+V167+W167+X167+Y167+Z167)))</f>
        <v/>
      </c>
      <c r="AV167" s="43">
        <f>IF(((S167*pax_cap*load_full*ROUND(K167*L167*revleg_full,0))-(((battery/range_nm)*D167*ROUND(K167*L167*revleg_full,0)*VLOOKUP(B167,country_opex,3,FALSE))+V167+W167+X167+Y167+Z167))&lt;=0,"",VLOOKUP(B167,country_opex,7,FALSE)/((S167*pax_cap*load_full*ROUND(K167*L167*revleg_full,0))-(((battery/range_nm)*D167*ROUND(K167*L167*revleg_full,0)*VLOOKUP(B167,country_opex,3,FALSE))+V167+W167+X167+Y167+Z167)))</f>
        <v/>
      </c>
      <c r="AW167" s="44" t="inlineStr">
        <is>
          <t>PREMIUM tier: Stromma Cinderellabatarna one-way adult Strandvagen-&gt;Grinda from SEK 235 (2026 tariff). SEK 235 x 0.0952 = $22.4.</t>
        </is>
      </c>
      <c r="AX167" s="44" t="n"/>
    </row>
    <row r="168">
      <c r="A168" s="29" t="inlineStr">
        <is>
          <t>Bolt Sweden</t>
        </is>
      </c>
      <c r="B168" s="29" t="inlineStr">
        <is>
          <t>Sweden</t>
        </is>
      </c>
      <c r="C168" s="30" t="inlineStr">
        <is>
          <t>Stockholm (Strandvagen) → Gallno</t>
        </is>
      </c>
      <c r="D168" s="31" t="n">
        <v>21</v>
      </c>
      <c r="E168" s="26" t="n">
        <v>22.4</v>
      </c>
      <c r="F168" s="32" t="inlineStr">
        <is>
          <t>T2</t>
        </is>
      </c>
      <c r="G168" s="32" t="inlineStr">
        <is>
          <t>med</t>
        </is>
      </c>
      <c r="H168" s="19" t="n">
        <v>1</v>
      </c>
      <c r="I168" s="33">
        <f>60*D168/cruise_kt</f>
        <v/>
      </c>
      <c r="J168" s="33">
        <f>I168+turn_min+dwell_min</f>
        <v/>
      </c>
      <c r="K168" s="34">
        <f>MIN(10,FLOOR(60*service_hr/J168,1))</f>
        <v/>
      </c>
      <c r="L168" s="34">
        <f>ROUND(365*mech_uptime*H168,0)</f>
        <v/>
      </c>
      <c r="M168" s="35">
        <f>mech_uptime</f>
        <v/>
      </c>
      <c r="N168" s="35">
        <f>revleg_sel</f>
        <v/>
      </c>
      <c r="O168" s="34">
        <f>ROUND(K168*L168*revleg_sel,0)</f>
        <v/>
      </c>
      <c r="P168" s="36">
        <f>load_sel</f>
        <v/>
      </c>
      <c r="Q168" s="36">
        <f>pax_cap*P168</f>
        <v/>
      </c>
      <c r="R168" s="34">
        <f>Q168*O168</f>
        <v/>
      </c>
      <c r="S168" s="37">
        <f>E168*discount</f>
        <v/>
      </c>
      <c r="T168" s="38">
        <f>S168*R168</f>
        <v/>
      </c>
      <c r="U168" s="38">
        <f>(battery/range_nm)*D168*O168*VLOOKUP(B168,country_opex,3,FALSE)</f>
        <v/>
      </c>
      <c r="V168" s="38">
        <f>VLOOKUP(B168,country_opex,2,FALSE)*crew_factor</f>
        <v/>
      </c>
      <c r="W168" s="38">
        <f>VLOOKUP(B168,country_opex,5,FALSE)</f>
        <v/>
      </c>
      <c r="X168" s="38">
        <f>maint</f>
        <v/>
      </c>
      <c r="Y168" s="38">
        <f>VLOOKUP(B168,country_opex,7,FALSE)*ins_pct</f>
        <v/>
      </c>
      <c r="Z168" s="38">
        <f>charge_berth</f>
        <v/>
      </c>
      <c r="AA168" s="38">
        <f>U168+V168+W168+X168+Y168+Z168</f>
        <v/>
      </c>
      <c r="AB168" s="38">
        <f>VLOOKUP(B168,country_opex,7,FALSE)/dep_years</f>
        <v/>
      </c>
      <c r="AC168" s="38">
        <f>T168-AA168</f>
        <v/>
      </c>
      <c r="AD168" s="35">
        <f>IF(T168=0,"",AC168/T168)</f>
        <v/>
      </c>
      <c r="AE168" s="36">
        <f>IF(AC168&lt;=0,"",VLOOKUP(B168,country_opex,7,FALSE)/AC168)</f>
        <v/>
      </c>
      <c r="AF168" s="33">
        <f>((D168*O168/diesel_nmpg)*diesel_co2pg-(battery/range_nm)*D168*O168*VLOOKUP(B168,country_opex,4,FALSE))/1000</f>
        <v/>
      </c>
      <c r="AG168" s="31" t="n"/>
      <c r="AH168" s="32" t="n"/>
      <c r="AI168" s="32" t="n"/>
      <c r="AJ168" s="39" t="n">
        <v>0.1</v>
      </c>
      <c r="AK168" s="34">
        <f>IF(AG168="","",AG168*AJ168)</f>
        <v/>
      </c>
      <c r="AL168" s="34">
        <f>IF(OR(AG168="",R168=0),"",MIN(IF(AS168="",9.9E+99,AS168),FLOOR(AK168/R168,1)))</f>
        <v/>
      </c>
      <c r="AM168" s="38">
        <f>IF(AL168="","",AL168*T168)</f>
        <v/>
      </c>
      <c r="AN168" s="36">
        <f>IF(OR(AG168="",R168=0),"",MIN(IF(AS168="",9.9E+99,AS168),AK168/R168))</f>
        <v/>
      </c>
      <c r="AO168" s="38">
        <f>IF(AN168="","",AN168*T168)</f>
        <v/>
      </c>
      <c r="AP168" s="40" t="n"/>
      <c r="AQ168" s="41" t="n"/>
      <c r="AR168" s="41" t="n"/>
      <c r="AS168" s="42" t="n"/>
      <c r="AT168" s="43">
        <f>IF(((S168*pax_cap*load_thin*ROUND(K168*L168*revleg_thin,0))-(((battery/range_nm)*D168*ROUND(K168*L168*revleg_thin,0)*VLOOKUP(B168,country_opex,3,FALSE))+V168+W168+X168+Y168+Z168))&lt;=0,"",VLOOKUP(B168,country_opex,7,FALSE)/((S168*pax_cap*load_thin*ROUND(K168*L168*revleg_thin,0))-(((battery/range_nm)*D168*ROUND(K168*L168*revleg_thin,0)*VLOOKUP(B168,country_opex,3,FALSE))+V168+W168+X168+Y168+Z168)))</f>
        <v/>
      </c>
      <c r="AU168" s="43">
        <f>IF(((S168*pax_cap*load_mid*ROUND(K168*L168*revleg_mid,0))-(((battery/range_nm)*D168*ROUND(K168*L168*revleg_mid,0)*VLOOKUP(B168,country_opex,3,FALSE))+V168+W168+X168+Y168+Z168))&lt;=0,"",VLOOKUP(B168,country_opex,7,FALSE)/((S168*pax_cap*load_mid*ROUND(K168*L168*revleg_mid,0))-(((battery/range_nm)*D168*ROUND(K168*L168*revleg_mid,0)*VLOOKUP(B168,country_opex,3,FALSE))+V168+W168+X168+Y168+Z168)))</f>
        <v/>
      </c>
      <c r="AV168" s="43">
        <f>IF(((S168*pax_cap*load_full*ROUND(K168*L168*revleg_full,0))-(((battery/range_nm)*D168*ROUND(K168*L168*revleg_full,0)*VLOOKUP(B168,country_opex,3,FALSE))+V168+W168+X168+Y168+Z168))&lt;=0,"",VLOOKUP(B168,country_opex,7,FALSE)/((S168*pax_cap*load_full*ROUND(K168*L168*revleg_full,0))-(((battery/range_nm)*D168*ROUND(K168*L168*revleg_full,0)*VLOOKUP(B168,country_opex,3,FALSE))+V168+W168+X168+Y168+Z168)))</f>
        <v/>
      </c>
      <c r="AW168" s="44" t="inlineStr">
        <is>
          <t>PREMIUM tier: Stromma Cinderellabatarna one-way adult Strandvagen-&gt;Gallno from SEK 235 (2026 tariff). SEK 235 x 0.0952 = $22.4.</t>
        </is>
      </c>
      <c r="AX168" s="44" t="n"/>
    </row>
    <row r="169">
      <c r="A169" s="29" t="inlineStr">
        <is>
          <t>Bolt Sweden</t>
        </is>
      </c>
      <c r="B169" s="29" t="inlineStr">
        <is>
          <t>Sweden</t>
        </is>
      </c>
      <c r="C169" s="30" t="inlineStr">
        <is>
          <t>Stockholm (Strandvagen) → Sandhamn</t>
        </is>
      </c>
      <c r="D169" s="31" t="n">
        <v>26</v>
      </c>
      <c r="E169" s="26" t="n">
        <v>24.3</v>
      </c>
      <c r="F169" s="32" t="inlineStr">
        <is>
          <t>T2</t>
        </is>
      </c>
      <c r="G169" s="32" t="inlineStr">
        <is>
          <t>med</t>
        </is>
      </c>
      <c r="H169" s="19" t="n">
        <v>1</v>
      </c>
      <c r="I169" s="33">
        <f>60*D169/cruise_kt</f>
        <v/>
      </c>
      <c r="J169" s="33">
        <f>I169+turn_min+dwell_min</f>
        <v/>
      </c>
      <c r="K169" s="34">
        <f>MIN(10,FLOOR(60*service_hr/J169,1))</f>
        <v/>
      </c>
      <c r="L169" s="34">
        <f>ROUND(365*mech_uptime*H169,0)</f>
        <v/>
      </c>
      <c r="M169" s="35">
        <f>mech_uptime</f>
        <v/>
      </c>
      <c r="N169" s="35">
        <f>revleg_sel</f>
        <v/>
      </c>
      <c r="O169" s="34">
        <f>ROUND(K169*L169*revleg_sel,0)</f>
        <v/>
      </c>
      <c r="P169" s="36">
        <f>load_sel</f>
        <v/>
      </c>
      <c r="Q169" s="36">
        <f>pax_cap*P169</f>
        <v/>
      </c>
      <c r="R169" s="34">
        <f>Q169*O169</f>
        <v/>
      </c>
      <c r="S169" s="37">
        <f>E169*discount</f>
        <v/>
      </c>
      <c r="T169" s="38">
        <f>S169*R169</f>
        <v/>
      </c>
      <c r="U169" s="38">
        <f>(battery/range_nm)*D169*O169*VLOOKUP(B169,country_opex,3,FALSE)</f>
        <v/>
      </c>
      <c r="V169" s="38">
        <f>VLOOKUP(B169,country_opex,2,FALSE)*crew_factor</f>
        <v/>
      </c>
      <c r="W169" s="38">
        <f>VLOOKUP(B169,country_opex,5,FALSE)</f>
        <v/>
      </c>
      <c r="X169" s="38">
        <f>maint</f>
        <v/>
      </c>
      <c r="Y169" s="38">
        <f>VLOOKUP(B169,country_opex,7,FALSE)*ins_pct</f>
        <v/>
      </c>
      <c r="Z169" s="38">
        <f>charge_berth</f>
        <v/>
      </c>
      <c r="AA169" s="38">
        <f>U169+V169+W169+X169+Y169+Z169</f>
        <v/>
      </c>
      <c r="AB169" s="38">
        <f>VLOOKUP(B169,country_opex,7,FALSE)/dep_years</f>
        <v/>
      </c>
      <c r="AC169" s="38">
        <f>T169-AA169</f>
        <v/>
      </c>
      <c r="AD169" s="35">
        <f>IF(T169=0,"",AC169/T169)</f>
        <v/>
      </c>
      <c r="AE169" s="36">
        <f>IF(AC169&lt;=0,"",VLOOKUP(B169,country_opex,7,FALSE)/AC169)</f>
        <v/>
      </c>
      <c r="AF169" s="33">
        <f>((D169*O169/diesel_nmpg)*diesel_co2pg-(battery/range_nm)*D169*O169*VLOOKUP(B169,country_opex,4,FALSE))/1000</f>
        <v/>
      </c>
      <c r="AG169" s="31" t="n">
        <v>100000</v>
      </c>
      <c r="AH169" s="32" t="n"/>
      <c r="AI169" s="32" t="n"/>
      <c r="AJ169" s="39" t="n">
        <v>0.1</v>
      </c>
      <c r="AK169" s="34">
        <f>IF(AG169="","",AG169*AJ169)</f>
        <v/>
      </c>
      <c r="AL169" s="34">
        <f>IF(OR(AG169="",R169=0),"",MIN(IF(AS169="",9.9E+99,AS169),FLOOR(AK169/R169,1)))</f>
        <v/>
      </c>
      <c r="AM169" s="38">
        <f>IF(AL169="","",AL169*T169)</f>
        <v/>
      </c>
      <c r="AN169" s="36">
        <f>IF(OR(AG169="",R169=0),"",MIN(IF(AS169="",9.9E+99,AS169),AK169/R169))</f>
        <v/>
      </c>
      <c r="AO169" s="38">
        <f>IF(AN169="","",AN169*T169)</f>
        <v/>
      </c>
      <c r="AP169" s="40" t="n"/>
      <c r="AQ169" s="41" t="n"/>
      <c r="AR169" s="41" t="n"/>
      <c r="AS169" s="42" t="n"/>
      <c r="AT169" s="43">
        <f>IF(((S169*pax_cap*load_thin*ROUND(K169*L169*revleg_thin,0))-(((battery/range_nm)*D169*ROUND(K169*L169*revleg_thin,0)*VLOOKUP(B169,country_opex,3,FALSE))+V169+W169+X169+Y169+Z169))&lt;=0,"",VLOOKUP(B169,country_opex,7,FALSE)/((S169*pax_cap*load_thin*ROUND(K169*L169*revleg_thin,0))-(((battery/range_nm)*D169*ROUND(K169*L169*revleg_thin,0)*VLOOKUP(B169,country_opex,3,FALSE))+V169+W169+X169+Y169+Z169)))</f>
        <v/>
      </c>
      <c r="AU169" s="43">
        <f>IF(((S169*pax_cap*load_mid*ROUND(K169*L169*revleg_mid,0))-(((battery/range_nm)*D169*ROUND(K169*L169*revleg_mid,0)*VLOOKUP(B169,country_opex,3,FALSE))+V169+W169+X169+Y169+Z169))&lt;=0,"",VLOOKUP(B169,country_opex,7,FALSE)/((S169*pax_cap*load_mid*ROUND(K169*L169*revleg_mid,0))-(((battery/range_nm)*D169*ROUND(K169*L169*revleg_mid,0)*VLOOKUP(B169,country_opex,3,FALSE))+V169+W169+X169+Y169+Z169)))</f>
        <v/>
      </c>
      <c r="AV169" s="43">
        <f>IF(((S169*pax_cap*load_full*ROUND(K169*L169*revleg_full,0))-(((battery/range_nm)*D169*ROUND(K169*L169*revleg_full,0)*VLOOKUP(B169,country_opex,3,FALSE))+V169+W169+X169+Y169+Z169))&lt;=0,"",VLOOKUP(B169,country_opex,7,FALSE)/((S169*pax_cap*load_full*ROUND(K169*L169*revleg_full,0))-(((battery/range_nm)*D169*ROUND(K169*L169*revleg_full,0)*VLOOKUP(B169,country_opex,3,FALSE))+V169+W169+X169+Y169+Z169)))</f>
        <v/>
      </c>
      <c r="AW169" s="44" t="inlineStr">
        <is>
          <t>PREMIUM tier: Stromma Cinderellabatarna one-way adult Strandvagen-&gt;Sandhamn from SEK 255 (2026 tariff). SEK 255 x 0.0952 = $24.3.</t>
        </is>
      </c>
      <c r="AX169" s="44" t="n"/>
    </row>
    <row r="170">
      <c r="A170" s="29" t="inlineStr">
        <is>
          <t>Bolt Uae</t>
        </is>
      </c>
      <c r="B170" s="29" t="inlineStr">
        <is>
          <t>United Arab Emirates</t>
        </is>
      </c>
      <c r="C170" s="30" t="inlineStr">
        <is>
          <t>One&amp;Only The Palm Jetty → Jumeirah Zabeel Saray Jetty</t>
        </is>
      </c>
      <c r="D170" s="31" t="n">
        <v>0.5</v>
      </c>
      <c r="E170" s="26" t="n">
        <v>130</v>
      </c>
      <c r="F170" s="32" t="inlineStr">
        <is>
          <t>T5</t>
        </is>
      </c>
      <c r="G170" s="32" t="inlineStr">
        <is>
          <t>low</t>
        </is>
      </c>
      <c r="H170" s="19" t="n">
        <v>1</v>
      </c>
      <c r="I170" s="33">
        <f>60*D170/cruise_kt</f>
        <v/>
      </c>
      <c r="J170" s="33">
        <f>I170+turn_min+dwell_min</f>
        <v/>
      </c>
      <c r="K170" s="34">
        <f>MIN(10,FLOOR(60*service_hr/J170,1))</f>
        <v/>
      </c>
      <c r="L170" s="34">
        <f>ROUND(365*mech_uptime*H170,0)</f>
        <v/>
      </c>
      <c r="M170" s="35">
        <f>mech_uptime</f>
        <v/>
      </c>
      <c r="N170" s="35">
        <f>revleg_sel</f>
        <v/>
      </c>
      <c r="O170" s="34">
        <f>ROUND(K170*L170*revleg_sel,0)</f>
        <v/>
      </c>
      <c r="P170" s="36">
        <f>load_sel</f>
        <v/>
      </c>
      <c r="Q170" s="36">
        <f>pax_cap*P170</f>
        <v/>
      </c>
      <c r="R170" s="34">
        <f>Q170*O170</f>
        <v/>
      </c>
      <c r="S170" s="37">
        <f>E170*discount</f>
        <v/>
      </c>
      <c r="T170" s="38">
        <f>S170*R170</f>
        <v/>
      </c>
      <c r="U170" s="38">
        <f>(battery/range_nm)*D170*O170*VLOOKUP(B170,country_opex,3,FALSE)</f>
        <v/>
      </c>
      <c r="V170" s="38">
        <f>VLOOKUP(B170,country_opex,2,FALSE)*crew_factor</f>
        <v/>
      </c>
      <c r="W170" s="38">
        <f>VLOOKUP(B170,country_opex,5,FALSE)</f>
        <v/>
      </c>
      <c r="X170" s="38">
        <f>maint</f>
        <v/>
      </c>
      <c r="Y170" s="38">
        <f>VLOOKUP(B170,country_opex,7,FALSE)*ins_pct</f>
        <v/>
      </c>
      <c r="Z170" s="38">
        <f>charge_berth</f>
        <v/>
      </c>
      <c r="AA170" s="38">
        <f>U170+V170+W170+X170+Y170+Z170</f>
        <v/>
      </c>
      <c r="AB170" s="38">
        <f>VLOOKUP(B170,country_opex,7,FALSE)/dep_years</f>
        <v/>
      </c>
      <c r="AC170" s="38">
        <f>T170-AA170</f>
        <v/>
      </c>
      <c r="AD170" s="35">
        <f>IF(T170=0,"",AC170/T170)</f>
        <v/>
      </c>
      <c r="AE170" s="36">
        <f>IF(AC170&lt;=0,"",VLOOKUP(B170,country_opex,7,FALSE)/AC170)</f>
        <v/>
      </c>
      <c r="AF170" s="33">
        <f>((D170*O170/diesel_nmpg)*diesel_co2pg-(battery/range_nm)*D170*O170*VLOOKUP(B170,country_opex,4,FALSE))/1000</f>
        <v/>
      </c>
      <c r="AG170" s="31" t="n">
        <v>25000</v>
      </c>
      <c r="AH170" s="32" t="inlineStr">
        <is>
          <t>T3</t>
        </is>
      </c>
      <c r="AI170" s="32" t="inlineStr">
        <is>
          <t>low</t>
        </is>
      </c>
      <c r="AJ170" s="39" t="n">
        <v>0.1</v>
      </c>
      <c r="AK170" s="34">
        <f>IF(AG170="","",AG170*AJ170)</f>
        <v/>
      </c>
      <c r="AL170" s="34">
        <f>IF(OR(AG170="",R170=0),"",MIN(IF(AS170="",9.9E+99,AS170),FLOOR(AK170/R170,1)))</f>
        <v/>
      </c>
      <c r="AM170" s="38">
        <f>IF(AL170="","",AL170*T170)</f>
        <v/>
      </c>
      <c r="AN170" s="36">
        <f>IF(OR(AG170="",R170=0),"",MIN(IF(AS170="",9.9E+99,AS170),AK170/R170))</f>
        <v/>
      </c>
      <c r="AO170" s="38">
        <f>IF(AN170="","",AN170*T170)</f>
        <v/>
      </c>
      <c r="AP170" s="40" t="n"/>
      <c r="AQ170" s="41" t="n"/>
      <c r="AR170" s="41" t="n"/>
      <c r="AS170" s="42" t="n"/>
      <c r="AT170" s="43">
        <f>IF(((S170*pax_cap*load_thin*ROUND(K170*L170*revleg_thin,0))-(((battery/range_nm)*D170*ROUND(K170*L170*revleg_thin,0)*VLOOKUP(B170,country_opex,3,FALSE))+V170+W170+X170+Y170+Z170))&lt;=0,"",VLOOKUP(B170,country_opex,7,FALSE)/((S170*pax_cap*load_thin*ROUND(K170*L170*revleg_thin,0))-(((battery/range_nm)*D170*ROUND(K170*L170*revleg_thin,0)*VLOOKUP(B170,country_opex,3,FALSE))+V170+W170+X170+Y170+Z170)))</f>
        <v/>
      </c>
      <c r="AU170" s="43">
        <f>IF(((S170*pax_cap*load_mid*ROUND(K170*L170*revleg_mid,0))-(((battery/range_nm)*D170*ROUND(K170*L170*revleg_mid,0)*VLOOKUP(B170,country_opex,3,FALSE))+V170+W170+X170+Y170+Z170))&lt;=0,"",VLOOKUP(B170,country_opex,7,FALSE)/((S170*pax_cap*load_mid*ROUND(K170*L170*revleg_mid,0))-(((battery/range_nm)*D170*ROUND(K170*L170*revleg_mid,0)*VLOOKUP(B170,country_opex,3,FALSE))+V170+W170+X170+Y170+Z170)))</f>
        <v/>
      </c>
      <c r="AV170" s="43">
        <f>IF(((S170*pax_cap*load_full*ROUND(K170*L170*revleg_full,0))-(((battery/range_nm)*D170*ROUND(K170*L170*revleg_full,0)*VLOOKUP(B170,country_opex,3,FALSE))+V170+W170+X170+Y170+Z170))&lt;=0,"",VLOOKUP(B170,country_opex,7,FALSE)/((S170*pax_cap*load_full*ROUND(K170*L170*revleg_full,0))-(((battery/range_nm)*D170*ROUND(K170*L170*revleg_full,0)*VLOOKUP(B170,country_opex,3,FALSE))+V170+W170+X170+Y170+Z170)))</f>
        <v/>
      </c>
      <c r="AW170" s="44" t="inlineStr">
        <is>
          <t>Palm ultra-lux cluster (One&amp;Only&lt;-&gt;Zabeel Saray). Road-served. T5/low.</t>
        </is>
      </c>
      <c r="AX170" s="44" t="inlineStr">
        <is>
          <t>UAE-DEMAND-ANCHORS-2026-06-17.json — tier-based addressable pool derived from sourcing wave anchors (hotel keys × occ × shuttle adoption, marina activity, RTA marine baseline).</t>
        </is>
      </c>
    </row>
    <row r="171">
      <c r="A171" s="29" t="inlineStr">
        <is>
          <t>Bolt Uae</t>
        </is>
      </c>
      <c r="B171" s="29" t="inlineStr">
        <is>
          <t>United Arab Emirates</t>
        </is>
      </c>
      <c r="C171" s="30" t="inlineStr">
        <is>
          <t>Dubai Harbour Marina → Bluewaters Marina</t>
        </is>
      </c>
      <c r="D171" s="31" t="n">
        <v>1.1</v>
      </c>
      <c r="E171" s="26" t="n">
        <v>45</v>
      </c>
      <c r="F171" s="32" t="inlineStr">
        <is>
          <t>T1</t>
        </is>
      </c>
      <c r="G171" s="32" t="inlineStr">
        <is>
          <t>high</t>
        </is>
      </c>
      <c r="H171" s="19" t="n">
        <v>1</v>
      </c>
      <c r="I171" s="33">
        <f>60*D171/cruise_kt</f>
        <v/>
      </c>
      <c r="J171" s="33">
        <f>I171+turn_min+dwell_min</f>
        <v/>
      </c>
      <c r="K171" s="34">
        <f>MIN(10,FLOOR(60*service_hr/J171,1))</f>
        <v/>
      </c>
      <c r="L171" s="34">
        <f>ROUND(365*mech_uptime*H171,0)</f>
        <v/>
      </c>
      <c r="M171" s="35">
        <f>mech_uptime</f>
        <v/>
      </c>
      <c r="N171" s="35">
        <f>revleg_sel</f>
        <v/>
      </c>
      <c r="O171" s="34">
        <f>ROUND(K171*L171*revleg_sel,0)</f>
        <v/>
      </c>
      <c r="P171" s="36">
        <f>load_sel</f>
        <v/>
      </c>
      <c r="Q171" s="36">
        <f>pax_cap*P171</f>
        <v/>
      </c>
      <c r="R171" s="34">
        <f>Q171*O171</f>
        <v/>
      </c>
      <c r="S171" s="37">
        <f>E171*discount</f>
        <v/>
      </c>
      <c r="T171" s="38">
        <f>S171*R171</f>
        <v/>
      </c>
      <c r="U171" s="38">
        <f>(battery/range_nm)*D171*O171*VLOOKUP(B171,country_opex,3,FALSE)</f>
        <v/>
      </c>
      <c r="V171" s="38">
        <f>VLOOKUP(B171,country_opex,2,FALSE)*crew_factor</f>
        <v/>
      </c>
      <c r="W171" s="38">
        <f>VLOOKUP(B171,country_opex,5,FALSE)</f>
        <v/>
      </c>
      <c r="X171" s="38">
        <f>maint</f>
        <v/>
      </c>
      <c r="Y171" s="38">
        <f>VLOOKUP(B171,country_opex,7,FALSE)*ins_pct</f>
        <v/>
      </c>
      <c r="Z171" s="38">
        <f>charge_berth</f>
        <v/>
      </c>
      <c r="AA171" s="38">
        <f>U171+V171+W171+X171+Y171+Z171</f>
        <v/>
      </c>
      <c r="AB171" s="38">
        <f>VLOOKUP(B171,country_opex,7,FALSE)/dep_years</f>
        <v/>
      </c>
      <c r="AC171" s="38">
        <f>T171-AA171</f>
        <v/>
      </c>
      <c r="AD171" s="35">
        <f>IF(T171=0,"",AC171/T171)</f>
        <v/>
      </c>
      <c r="AE171" s="36">
        <f>IF(AC171&lt;=0,"",VLOOKUP(B171,country_opex,7,FALSE)/AC171)</f>
        <v/>
      </c>
      <c r="AF171" s="33">
        <f>((D171*O171/diesel_nmpg)*diesel_co2pg-(battery/range_nm)*D171*O171*VLOOKUP(B171,country_opex,4,FALSE))/1000</f>
        <v/>
      </c>
      <c r="AG171" s="31" t="n">
        <v>200000</v>
      </c>
      <c r="AH171" s="32" t="inlineStr">
        <is>
          <t>T5</t>
        </is>
      </c>
      <c r="AI171" s="32" t="inlineStr">
        <is>
          <t>low</t>
        </is>
      </c>
      <c r="AJ171" s="39" t="n">
        <v>0.1</v>
      </c>
      <c r="AK171" s="34">
        <f>IF(AG171="","",AG171*AJ171)</f>
        <v/>
      </c>
      <c r="AL171" s="34">
        <f>IF(OR(AG171="",R171=0),"",MIN(IF(AS171="",9.9E+99,AS171),FLOOR(AK171/R171,1)))</f>
        <v/>
      </c>
      <c r="AM171" s="38">
        <f>IF(AL171="","",AL171*T171)</f>
        <v/>
      </c>
      <c r="AN171" s="36">
        <f>IF(OR(AG171="",R171=0),"",MIN(IF(AS171="",9.9E+99,AS171),AK171/R171))</f>
        <v/>
      </c>
      <c r="AO171" s="38">
        <f>IF(AN171="","",AN171*T171)</f>
        <v/>
      </c>
      <c r="AP171" s="40" t="n"/>
      <c r="AQ171" s="41" t="n"/>
      <c r="AR171" s="41" t="n"/>
      <c r="AS171" s="42" t="n"/>
      <c r="AT171" s="43">
        <f>IF(((S171*pax_cap*load_thin*ROUND(K171*L171*revleg_thin,0))-(((battery/range_nm)*D171*ROUND(K171*L171*revleg_thin,0)*VLOOKUP(B171,country_opex,3,FALSE))+V171+W171+X171+Y171+Z171))&lt;=0,"",VLOOKUP(B171,country_opex,7,FALSE)/((S171*pax_cap*load_thin*ROUND(K171*L171*revleg_thin,0))-(((battery/range_nm)*D171*ROUND(K171*L171*revleg_thin,0)*VLOOKUP(B171,country_opex,3,FALSE))+V171+W171+X171+Y171+Z171)))</f>
        <v/>
      </c>
      <c r="AU171" s="43">
        <f>IF(((S171*pax_cap*load_mid*ROUND(K171*L171*revleg_mid,0))-(((battery/range_nm)*D171*ROUND(K171*L171*revleg_mid,0)*VLOOKUP(B171,country_opex,3,FALSE))+V171+W171+X171+Y171+Z171))&lt;=0,"",VLOOKUP(B171,country_opex,7,FALSE)/((S171*pax_cap*load_mid*ROUND(K171*L171*revleg_mid,0))-(((battery/range_nm)*D171*ROUND(K171*L171*revleg_mid,0)*VLOOKUP(B171,country_opex,3,FALSE))+V171+W171+X171+Y171+Z171)))</f>
        <v/>
      </c>
      <c r="AV171" s="43">
        <f>IF(((S171*pax_cap*load_full*ROUND(K171*L171*revleg_full,0))-(((battery/range_nm)*D171*ROUND(K171*L171*revleg_full,0)*VLOOKUP(B171,country_opex,3,FALSE))+V171+W171+X171+Y171+Z171))&lt;=0,"",VLOOKUP(B171,country_opex,7,FALSE)/((S171*pax_cap*load_full*ROUND(K171*L171*revleg_full,0))-(((battery/range_nm)*D171*ROUND(K171*L171*revleg_full,0)*VLOOKUP(B171,country_opex,3,FALSE))+V171+W171+X171+Y171+Z171)))</f>
        <v/>
      </c>
      <c r="AW171" s="44" t="inlineStr">
        <is>
          <t>RTA/Dubai-Ferry official ladder (R-RTA, T1): Water Taxi on-demand single AED 150/pax = $40.8; Dubai Ferry Gold AED 75 = $20.4, Silver AED 50 = $13.6; Water Bus AED 7; Abra AED 1. dubai-ferry.com / rta.ae 2025/26. Bluewaters/Ain Dubai is a genuine water-served island attraction adjacent to Dubai Marina.</t>
        </is>
      </c>
      <c r="AX171" s="44" t="inlineStr">
        <is>
          <t>RTA marine = 18.4M riders 2025 (WAM, T1); bulk are ~1km Creek abras (R3-ABRA, different micro-corridor). Premium non-abra modes a small fraction.</t>
        </is>
      </c>
    </row>
    <row r="172">
      <c r="A172" s="29" t="inlineStr">
        <is>
          <t>Bolt Uae</t>
        </is>
      </c>
      <c r="B172" s="29" t="inlineStr">
        <is>
          <t>United Arab Emirates</t>
        </is>
      </c>
      <c r="C172" s="30" t="inlineStr">
        <is>
          <t>Kempinski Hotel &amp; Residences Palm Jumeirah Jetty → Atlantis The Palm Jetty</t>
        </is>
      </c>
      <c r="D172" s="31" t="n">
        <v>1.2</v>
      </c>
      <c r="E172" s="26" t="n">
        <v>130</v>
      </c>
      <c r="F172" s="32" t="inlineStr">
        <is>
          <t>T5</t>
        </is>
      </c>
      <c r="G172" s="32" t="inlineStr">
        <is>
          <t>low</t>
        </is>
      </c>
      <c r="H172" s="19" t="n">
        <v>1</v>
      </c>
      <c r="I172" s="33">
        <f>60*D172/cruise_kt</f>
        <v/>
      </c>
      <c r="J172" s="33">
        <f>I172+turn_min+dwell_min</f>
        <v/>
      </c>
      <c r="K172" s="34">
        <f>MIN(10,FLOOR(60*service_hr/J172,1))</f>
        <v/>
      </c>
      <c r="L172" s="34">
        <f>ROUND(365*mech_uptime*H172,0)</f>
        <v/>
      </c>
      <c r="M172" s="35">
        <f>mech_uptime</f>
        <v/>
      </c>
      <c r="N172" s="35">
        <f>revleg_sel</f>
        <v/>
      </c>
      <c r="O172" s="34">
        <f>ROUND(K172*L172*revleg_sel,0)</f>
        <v/>
      </c>
      <c r="P172" s="36">
        <f>load_sel</f>
        <v/>
      </c>
      <c r="Q172" s="36">
        <f>pax_cap*P172</f>
        <v/>
      </c>
      <c r="R172" s="34">
        <f>Q172*O172</f>
        <v/>
      </c>
      <c r="S172" s="37">
        <f>E172*discount</f>
        <v/>
      </c>
      <c r="T172" s="38">
        <f>S172*R172</f>
        <v/>
      </c>
      <c r="U172" s="38">
        <f>(battery/range_nm)*D172*O172*VLOOKUP(B172,country_opex,3,FALSE)</f>
        <v/>
      </c>
      <c r="V172" s="38">
        <f>VLOOKUP(B172,country_opex,2,FALSE)*crew_factor</f>
        <v/>
      </c>
      <c r="W172" s="38">
        <f>VLOOKUP(B172,country_opex,5,FALSE)</f>
        <v/>
      </c>
      <c r="X172" s="38">
        <f>maint</f>
        <v/>
      </c>
      <c r="Y172" s="38">
        <f>VLOOKUP(B172,country_opex,7,FALSE)*ins_pct</f>
        <v/>
      </c>
      <c r="Z172" s="38">
        <f>charge_berth</f>
        <v/>
      </c>
      <c r="AA172" s="38">
        <f>U172+V172+W172+X172+Y172+Z172</f>
        <v/>
      </c>
      <c r="AB172" s="38">
        <f>VLOOKUP(B172,country_opex,7,FALSE)/dep_years</f>
        <v/>
      </c>
      <c r="AC172" s="38">
        <f>T172-AA172</f>
        <v/>
      </c>
      <c r="AD172" s="35">
        <f>IF(T172=0,"",AC172/T172)</f>
        <v/>
      </c>
      <c r="AE172" s="36">
        <f>IF(AC172&lt;=0,"",VLOOKUP(B172,country_opex,7,FALSE)/AC172)</f>
        <v/>
      </c>
      <c r="AF172" s="33">
        <f>((D172*O172/diesel_nmpg)*diesel_co2pg-(battery/range_nm)*D172*O172*VLOOKUP(B172,country_opex,4,FALSE))/1000</f>
        <v/>
      </c>
      <c r="AG172" s="31" t="n">
        <v>30000</v>
      </c>
      <c r="AH172" s="32" t="inlineStr">
        <is>
          <t>T3</t>
        </is>
      </c>
      <c r="AI172" s="32" t="inlineStr">
        <is>
          <t>low</t>
        </is>
      </c>
      <c r="AJ172" s="39" t="n">
        <v>0.1</v>
      </c>
      <c r="AK172" s="34">
        <f>IF(AG172="","",AG172*AJ172)</f>
        <v/>
      </c>
      <c r="AL172" s="34">
        <f>IF(OR(AG172="",R172=0),"",MIN(IF(AS172="",9.9E+99,AS172),FLOOR(AK172/R172,1)))</f>
        <v/>
      </c>
      <c r="AM172" s="38">
        <f>IF(AL172="","",AL172*T172)</f>
        <v/>
      </c>
      <c r="AN172" s="36">
        <f>IF(OR(AG172="",R172=0),"",MIN(IF(AS172="",9.9E+99,AS172),AK172/R172))</f>
        <v/>
      </c>
      <c r="AO172" s="38">
        <f>IF(AN172="","",AN172*T172)</f>
        <v/>
      </c>
      <c r="AP172" s="40" t="n"/>
      <c r="AQ172" s="41" t="n"/>
      <c r="AR172" s="41" t="n"/>
      <c r="AS172" s="42" t="n"/>
      <c r="AT172" s="43">
        <f>IF(((S172*pax_cap*load_thin*ROUND(K172*L172*revleg_thin,0))-(((battery/range_nm)*D172*ROUND(K172*L172*revleg_thin,0)*VLOOKUP(B172,country_opex,3,FALSE))+V172+W172+X172+Y172+Z172))&lt;=0,"",VLOOKUP(B172,country_opex,7,FALSE)/((S172*pax_cap*load_thin*ROUND(K172*L172*revleg_thin,0))-(((battery/range_nm)*D172*ROUND(K172*L172*revleg_thin,0)*VLOOKUP(B172,country_opex,3,FALSE))+V172+W172+X172+Y172+Z172)))</f>
        <v/>
      </c>
      <c r="AU172" s="43">
        <f>IF(((S172*pax_cap*load_mid*ROUND(K172*L172*revleg_mid,0))-(((battery/range_nm)*D172*ROUND(K172*L172*revleg_mid,0)*VLOOKUP(B172,country_opex,3,FALSE))+V172+W172+X172+Y172+Z172))&lt;=0,"",VLOOKUP(B172,country_opex,7,FALSE)/((S172*pax_cap*load_mid*ROUND(K172*L172*revleg_mid,0))-(((battery/range_nm)*D172*ROUND(K172*L172*revleg_mid,0)*VLOOKUP(B172,country_opex,3,FALSE))+V172+W172+X172+Y172+Z172)))</f>
        <v/>
      </c>
      <c r="AV172" s="43">
        <f>IF(((S172*pax_cap*load_full*ROUND(K172*L172*revleg_full,0))-(((battery/range_nm)*D172*ROUND(K172*L172*revleg_full,0)*VLOOKUP(B172,country_opex,3,FALSE))+V172+W172+X172+Y172+Z172))&lt;=0,"",VLOOKUP(B172,country_opex,7,FALSE)/((S172*pax_cap*load_full*ROUND(K172*L172*revleg_full,0))-(((battery/range_nm)*D172*ROUND(K172*L172*revleg_full,0)*VLOOKUP(B172,country_opex,3,FALSE))+V172+W172+X172+Y172+Z172)))</f>
        <v/>
      </c>
      <c r="AW172" s="44" t="inlineStr">
        <is>
          <t>Palm resort cluster (Kempinski&lt;-&gt;Atlantis). Road-served. T5/low.</t>
        </is>
      </c>
      <c r="AX172" s="44" t="inlineStr">
        <is>
          <t>UAE-DEMAND-ANCHORS-2026-06-17.json — tier-based addressable pool derived from sourcing wave anchors (hotel keys × occ × shuttle adoption, marina activity, RTA marine baseline).</t>
        </is>
      </c>
    </row>
    <row r="173">
      <c r="A173" s="29" t="inlineStr">
        <is>
          <t>Bolt Uae</t>
        </is>
      </c>
      <c r="B173" s="29" t="inlineStr">
        <is>
          <t>United Arab Emirates</t>
        </is>
      </c>
      <c r="C173" s="30" t="inlineStr">
        <is>
          <t>La Mer / J1 Beach Jetty → Nikki Beach Resort Pearl Jumeirah Jetty</t>
        </is>
      </c>
      <c r="D173" s="31" t="n">
        <v>1.2</v>
      </c>
      <c r="E173" s="26" t="n">
        <v>110</v>
      </c>
      <c r="F173" s="32" t="inlineStr">
        <is>
          <t>T5</t>
        </is>
      </c>
      <c r="G173" s="32" t="inlineStr">
        <is>
          <t>low</t>
        </is>
      </c>
      <c r="H173" s="19" t="n">
        <v>1</v>
      </c>
      <c r="I173" s="33">
        <f>60*D173/cruise_kt</f>
        <v/>
      </c>
      <c r="J173" s="33">
        <f>I173+turn_min+dwell_min</f>
        <v/>
      </c>
      <c r="K173" s="34">
        <f>MIN(10,FLOOR(60*service_hr/J173,1))</f>
        <v/>
      </c>
      <c r="L173" s="34">
        <f>ROUND(365*mech_uptime*H173,0)</f>
        <v/>
      </c>
      <c r="M173" s="35">
        <f>mech_uptime</f>
        <v/>
      </c>
      <c r="N173" s="35">
        <f>revleg_sel</f>
        <v/>
      </c>
      <c r="O173" s="34">
        <f>ROUND(K173*L173*revleg_sel,0)</f>
        <v/>
      </c>
      <c r="P173" s="36">
        <f>load_sel</f>
        <v/>
      </c>
      <c r="Q173" s="36">
        <f>pax_cap*P173</f>
        <v/>
      </c>
      <c r="R173" s="34">
        <f>Q173*O173</f>
        <v/>
      </c>
      <c r="S173" s="37">
        <f>E173*discount</f>
        <v/>
      </c>
      <c r="T173" s="38">
        <f>S173*R173</f>
        <v/>
      </c>
      <c r="U173" s="38">
        <f>(battery/range_nm)*D173*O173*VLOOKUP(B173,country_opex,3,FALSE)</f>
        <v/>
      </c>
      <c r="V173" s="38">
        <f>VLOOKUP(B173,country_opex,2,FALSE)*crew_factor</f>
        <v/>
      </c>
      <c r="W173" s="38">
        <f>VLOOKUP(B173,country_opex,5,FALSE)</f>
        <v/>
      </c>
      <c r="X173" s="38">
        <f>maint</f>
        <v/>
      </c>
      <c r="Y173" s="38">
        <f>VLOOKUP(B173,country_opex,7,FALSE)*ins_pct</f>
        <v/>
      </c>
      <c r="Z173" s="38">
        <f>charge_berth</f>
        <v/>
      </c>
      <c r="AA173" s="38">
        <f>U173+V173+W173+X173+Y173+Z173</f>
        <v/>
      </c>
      <c r="AB173" s="38">
        <f>VLOOKUP(B173,country_opex,7,FALSE)/dep_years</f>
        <v/>
      </c>
      <c r="AC173" s="38">
        <f>T173-AA173</f>
        <v/>
      </c>
      <c r="AD173" s="35">
        <f>IF(T173=0,"",AC173/T173)</f>
        <v/>
      </c>
      <c r="AE173" s="36">
        <f>IF(AC173&lt;=0,"",VLOOKUP(B173,country_opex,7,FALSE)/AC173)</f>
        <v/>
      </c>
      <c r="AF173" s="33">
        <f>((D173*O173/diesel_nmpg)*diesel_co2pg-(battery/range_nm)*D173*O173*VLOOKUP(B173,country_opex,4,FALSE))/1000</f>
        <v/>
      </c>
      <c r="AG173" s="31" t="n">
        <v>25000</v>
      </c>
      <c r="AH173" s="32" t="inlineStr">
        <is>
          <t>T3</t>
        </is>
      </c>
      <c r="AI173" s="32" t="inlineStr">
        <is>
          <t>low</t>
        </is>
      </c>
      <c r="AJ173" s="39" t="n">
        <v>0.1</v>
      </c>
      <c r="AK173" s="34">
        <f>IF(AG173="","",AG173*AJ173)</f>
        <v/>
      </c>
      <c r="AL173" s="34">
        <f>IF(OR(AG173="",R173=0),"",MIN(IF(AS173="",9.9E+99,AS173),FLOOR(AK173/R173,1)))</f>
        <v/>
      </c>
      <c r="AM173" s="38">
        <f>IF(AL173="","",AL173*T173)</f>
        <v/>
      </c>
      <c r="AN173" s="36">
        <f>IF(OR(AG173="",R173=0),"",MIN(IF(AS173="",9.9E+99,AS173),AK173/R173))</f>
        <v/>
      </c>
      <c r="AO173" s="38">
        <f>IF(AN173="","",AN173*T173)</f>
        <v/>
      </c>
      <c r="AP173" s="40" t="n"/>
      <c r="AQ173" s="41" t="n"/>
      <c r="AR173" s="41" t="n"/>
      <c r="AS173" s="42" t="n"/>
      <c r="AT173" s="43">
        <f>IF(((S173*pax_cap*load_thin*ROUND(K173*L173*revleg_thin,0))-(((battery/range_nm)*D173*ROUND(K173*L173*revleg_thin,0)*VLOOKUP(B173,country_opex,3,FALSE))+V173+W173+X173+Y173+Z173))&lt;=0,"",VLOOKUP(B173,country_opex,7,FALSE)/((S173*pax_cap*load_thin*ROUND(K173*L173*revleg_thin,0))-(((battery/range_nm)*D173*ROUND(K173*L173*revleg_thin,0)*VLOOKUP(B173,country_opex,3,FALSE))+V173+W173+X173+Y173+Z173)))</f>
        <v/>
      </c>
      <c r="AU173" s="43">
        <f>IF(((S173*pax_cap*load_mid*ROUND(K173*L173*revleg_mid,0))-(((battery/range_nm)*D173*ROUND(K173*L173*revleg_mid,0)*VLOOKUP(B173,country_opex,3,FALSE))+V173+W173+X173+Y173+Z173))&lt;=0,"",VLOOKUP(B173,country_opex,7,FALSE)/((S173*pax_cap*load_mid*ROUND(K173*L173*revleg_mid,0))-(((battery/range_nm)*D173*ROUND(K173*L173*revleg_mid,0)*VLOOKUP(B173,country_opex,3,FALSE))+V173+W173+X173+Y173+Z173)))</f>
        <v/>
      </c>
      <c r="AV173" s="43">
        <f>IF(((S173*pax_cap*load_full*ROUND(K173*L173*revleg_full,0))-(((battery/range_nm)*D173*ROUND(K173*L173*revleg_full,0)*VLOOKUP(B173,country_opex,3,FALSE))+V173+W173+X173+Y173+Z173))&lt;=0,"",VLOOKUP(B173,country_opex,7,FALSE)/((S173*pax_cap*load_full*ROUND(K173*L173*revleg_full,0))-(((battery/range_nm)*D173*ROUND(K173*L173*revleg_full,0)*VLOOKUP(B173,country_opex,3,FALSE))+V173+W173+X173+Y173+Z173)))</f>
        <v/>
      </c>
      <c r="AW173" s="44" t="inlineStr">
        <is>
          <t>Urban Dubai beach-club leisure hop. Road-served. T5/low.</t>
        </is>
      </c>
      <c r="AX173" s="44" t="inlineStr">
        <is>
          <t>UAE-DEMAND-ANCHORS-2026-06-17.json — tier-based addressable pool derived from sourcing wave anchors (hotel keys × occ × shuttle adoption, marina activity, RTA marine baseline).</t>
        </is>
      </c>
    </row>
    <row r="174">
      <c r="A174" s="29" t="inlineStr">
        <is>
          <t>Bolt Uae</t>
        </is>
      </c>
      <c r="B174" s="29" t="inlineStr">
        <is>
          <t>United Arab Emirates</t>
        </is>
      </c>
      <c r="C174" s="30" t="inlineStr">
        <is>
          <t>Palm Jumeirah Marina West → Atlantis The Palm Jetty</t>
        </is>
      </c>
      <c r="D174" s="31" t="n">
        <v>1.3</v>
      </c>
      <c r="E174" s="26" t="n">
        <v>150</v>
      </c>
      <c r="F174" s="32" t="inlineStr">
        <is>
          <t>T5</t>
        </is>
      </c>
      <c r="G174" s="32" t="inlineStr">
        <is>
          <t>low</t>
        </is>
      </c>
      <c r="H174" s="19" t="n">
        <v>1</v>
      </c>
      <c r="I174" s="33">
        <f>60*D174/cruise_kt</f>
        <v/>
      </c>
      <c r="J174" s="33">
        <f>I174+turn_min+dwell_min</f>
        <v/>
      </c>
      <c r="K174" s="34">
        <f>MIN(10,FLOOR(60*service_hr/J174,1))</f>
        <v/>
      </c>
      <c r="L174" s="34">
        <f>ROUND(365*mech_uptime*H174,0)</f>
        <v/>
      </c>
      <c r="M174" s="35">
        <f>mech_uptime</f>
        <v/>
      </c>
      <c r="N174" s="35">
        <f>revleg_sel</f>
        <v/>
      </c>
      <c r="O174" s="34">
        <f>ROUND(K174*L174*revleg_sel,0)</f>
        <v/>
      </c>
      <c r="P174" s="36">
        <f>load_sel</f>
        <v/>
      </c>
      <c r="Q174" s="36">
        <f>pax_cap*P174</f>
        <v/>
      </c>
      <c r="R174" s="34">
        <f>Q174*O174</f>
        <v/>
      </c>
      <c r="S174" s="37">
        <f>E174*discount</f>
        <v/>
      </c>
      <c r="T174" s="38">
        <f>S174*R174</f>
        <v/>
      </c>
      <c r="U174" s="38">
        <f>(battery/range_nm)*D174*O174*VLOOKUP(B174,country_opex,3,FALSE)</f>
        <v/>
      </c>
      <c r="V174" s="38">
        <f>VLOOKUP(B174,country_opex,2,FALSE)*crew_factor</f>
        <v/>
      </c>
      <c r="W174" s="38">
        <f>VLOOKUP(B174,country_opex,5,FALSE)</f>
        <v/>
      </c>
      <c r="X174" s="38">
        <f>maint</f>
        <v/>
      </c>
      <c r="Y174" s="38">
        <f>VLOOKUP(B174,country_opex,7,FALSE)*ins_pct</f>
        <v/>
      </c>
      <c r="Z174" s="38">
        <f>charge_berth</f>
        <v/>
      </c>
      <c r="AA174" s="38">
        <f>U174+V174+W174+X174+Y174+Z174</f>
        <v/>
      </c>
      <c r="AB174" s="38">
        <f>VLOOKUP(B174,country_opex,7,FALSE)/dep_years</f>
        <v/>
      </c>
      <c r="AC174" s="38">
        <f>T174-AA174</f>
        <v/>
      </c>
      <c r="AD174" s="35">
        <f>IF(T174=0,"",AC174/T174)</f>
        <v/>
      </c>
      <c r="AE174" s="36">
        <f>IF(AC174&lt;=0,"",VLOOKUP(B174,country_opex,7,FALSE)/AC174)</f>
        <v/>
      </c>
      <c r="AF174" s="33">
        <f>((D174*O174/diesel_nmpg)*diesel_co2pg-(battery/range_nm)*D174*O174*VLOOKUP(B174,country_opex,4,FALSE))/1000</f>
        <v/>
      </c>
      <c r="AG174" s="31" t="n">
        <v>120000</v>
      </c>
      <c r="AH174" s="32" t="inlineStr">
        <is>
          <t>T2</t>
        </is>
      </c>
      <c r="AI174" s="32" t="inlineStr">
        <is>
          <t>medium</t>
        </is>
      </c>
      <c r="AJ174" s="39" t="n">
        <v>0.1</v>
      </c>
      <c r="AK174" s="34">
        <f>IF(AG174="","",AG174*AJ174)</f>
        <v/>
      </c>
      <c r="AL174" s="34">
        <f>IF(OR(AG174="",R174=0),"",MIN(IF(AS174="",9.9E+99,AS174),FLOOR(AK174/R174,1)))</f>
        <v/>
      </c>
      <c r="AM174" s="38">
        <f>IF(AL174="","",AL174*T174)</f>
        <v/>
      </c>
      <c r="AN174" s="36">
        <f>IF(OR(AG174="",R174=0),"",MIN(IF(AS174="",9.9E+99,AS174),AK174/R174))</f>
        <v/>
      </c>
      <c r="AO174" s="38">
        <f>IF(AN174="","",AN174*T174)</f>
        <v/>
      </c>
      <c r="AP174" s="40" t="n"/>
      <c r="AQ174" s="41" t="n"/>
      <c r="AR174" s="41" t="n"/>
      <c r="AS174" s="42" t="n"/>
      <c r="AT174" s="43">
        <f>IF(((S174*pax_cap*load_thin*ROUND(K174*L174*revleg_thin,0))-(((battery/range_nm)*D174*ROUND(K174*L174*revleg_thin,0)*VLOOKUP(B174,country_opex,3,FALSE))+V174+W174+X174+Y174+Z174))&lt;=0,"",VLOOKUP(B174,country_opex,7,FALSE)/((S174*pax_cap*load_thin*ROUND(K174*L174*revleg_thin,0))-(((battery/range_nm)*D174*ROUND(K174*L174*revleg_thin,0)*VLOOKUP(B174,country_opex,3,FALSE))+V174+W174+X174+Y174+Z174)))</f>
        <v/>
      </c>
      <c r="AU174" s="43">
        <f>IF(((S174*pax_cap*load_mid*ROUND(K174*L174*revleg_mid,0))-(((battery/range_nm)*D174*ROUND(K174*L174*revleg_mid,0)*VLOOKUP(B174,country_opex,3,FALSE))+V174+W174+X174+Y174+Z174))&lt;=0,"",VLOOKUP(B174,country_opex,7,FALSE)/((S174*pax_cap*load_mid*ROUND(K174*L174*revleg_mid,0))-(((battery/range_nm)*D174*ROUND(K174*L174*revleg_mid,0)*VLOOKUP(B174,country_opex,3,FALSE))+V174+W174+X174+Y174+Z174)))</f>
        <v/>
      </c>
      <c r="AV174" s="43">
        <f>IF(((S174*pax_cap*load_full*ROUND(K174*L174*revleg_full,0))-(((battery/range_nm)*D174*ROUND(K174*L174*revleg_full,0)*VLOOKUP(B174,country_opex,3,FALSE))+V174+W174+X174+Y174+Z174))&lt;=0,"",VLOOKUP(B174,country_opex,7,FALSE)/((S174*pax_cap*load_full*ROUND(K174*L174*revleg_full,0))-(((battery/range_nm)*D174*ROUND(K174*L174*revleg_full,0)*VLOOKUP(B174,country_opex,3,FALSE))+V174+W174+X174+Y174+Z174)))</f>
        <v/>
      </c>
      <c r="AW174" s="44" t="inlineStr">
        <is>
          <t>Atlantis The Palm (1,544 rooms) road-served; premium marine arrival opportunity-to-create. T5/low.</t>
        </is>
      </c>
      <c r="AX174" s="44" t="inlineStr">
        <is>
          <t>UAE-DEMAND-ANCHORS-2026-06-17.json — sourcing wave: RTA Marine 18M riders 2024; DET 43M room-nights; DCT AD 4.8M hotel visitors; RAKTDA 4.35M guest-nights; Miral Yas 38M visits; Marjan/Skift Wynn projections; SCTDA Sharjah 1.6M.</t>
        </is>
      </c>
    </row>
    <row r="175">
      <c r="A175" s="29" t="inlineStr">
        <is>
          <t>Bolt Uae</t>
        </is>
      </c>
      <c r="B175" s="29" t="inlineStr">
        <is>
          <t>United Arab Emirates</t>
        </is>
      </c>
      <c r="C175" s="30" t="inlineStr">
        <is>
          <t>Dubai Creek Marina → Al Seef Marine Transport Station</t>
        </is>
      </c>
      <c r="D175" s="31" t="n">
        <v>1.5</v>
      </c>
      <c r="E175" s="26" t="n">
        <v>41</v>
      </c>
      <c r="F175" s="32" t="inlineStr">
        <is>
          <t>T1</t>
        </is>
      </c>
      <c r="G175" s="32" t="inlineStr">
        <is>
          <t>high</t>
        </is>
      </c>
      <c r="H175" s="19" t="n">
        <v>1</v>
      </c>
      <c r="I175" s="33">
        <f>60*D175/cruise_kt</f>
        <v/>
      </c>
      <c r="J175" s="33">
        <f>I175+turn_min+dwell_min</f>
        <v/>
      </c>
      <c r="K175" s="34">
        <f>MIN(10,FLOOR(60*service_hr/J175,1))</f>
        <v/>
      </c>
      <c r="L175" s="34">
        <f>ROUND(365*mech_uptime*H175,0)</f>
        <v/>
      </c>
      <c r="M175" s="35">
        <f>mech_uptime</f>
        <v/>
      </c>
      <c r="N175" s="35">
        <f>revleg_sel</f>
        <v/>
      </c>
      <c r="O175" s="34">
        <f>ROUND(K175*L175*revleg_sel,0)</f>
        <v/>
      </c>
      <c r="P175" s="36">
        <f>load_sel</f>
        <v/>
      </c>
      <c r="Q175" s="36">
        <f>pax_cap*P175</f>
        <v/>
      </c>
      <c r="R175" s="34">
        <f>Q175*O175</f>
        <v/>
      </c>
      <c r="S175" s="37">
        <f>E175*discount</f>
        <v/>
      </c>
      <c r="T175" s="38">
        <f>S175*R175</f>
        <v/>
      </c>
      <c r="U175" s="38">
        <f>(battery/range_nm)*D175*O175*VLOOKUP(B175,country_opex,3,FALSE)</f>
        <v/>
      </c>
      <c r="V175" s="38">
        <f>VLOOKUP(B175,country_opex,2,FALSE)*crew_factor</f>
        <v/>
      </c>
      <c r="W175" s="38">
        <f>VLOOKUP(B175,country_opex,5,FALSE)</f>
        <v/>
      </c>
      <c r="X175" s="38">
        <f>maint</f>
        <v/>
      </c>
      <c r="Y175" s="38">
        <f>VLOOKUP(B175,country_opex,7,FALSE)*ins_pct</f>
        <v/>
      </c>
      <c r="Z175" s="38">
        <f>charge_berth</f>
        <v/>
      </c>
      <c r="AA175" s="38">
        <f>U175+V175+W175+X175+Y175+Z175</f>
        <v/>
      </c>
      <c r="AB175" s="38">
        <f>VLOOKUP(B175,country_opex,7,FALSE)/dep_years</f>
        <v/>
      </c>
      <c r="AC175" s="38">
        <f>T175-AA175</f>
        <v/>
      </c>
      <c r="AD175" s="35">
        <f>IF(T175=0,"",AC175/T175)</f>
        <v/>
      </c>
      <c r="AE175" s="36">
        <f>IF(AC175&lt;=0,"",VLOOKUP(B175,country_opex,7,FALSE)/AC175)</f>
        <v/>
      </c>
      <c r="AF175" s="33">
        <f>((D175*O175/diesel_nmpg)*diesel_co2pg-(battery/range_nm)*D175*O175*VLOOKUP(B175,country_opex,4,FALSE))/1000</f>
        <v/>
      </c>
      <c r="AG175" s="31" t="n">
        <v>120000</v>
      </c>
      <c r="AH175" s="32" t="inlineStr">
        <is>
          <t>T5</t>
        </is>
      </c>
      <c r="AI175" s="32" t="inlineStr">
        <is>
          <t>low</t>
        </is>
      </c>
      <c r="AJ175" s="39" t="n">
        <v>0.1</v>
      </c>
      <c r="AK175" s="34">
        <f>IF(AG175="","",AG175*AJ175)</f>
        <v/>
      </c>
      <c r="AL175" s="34">
        <f>IF(OR(AG175="",R175=0),"",MIN(IF(AS175="",9.9E+99,AS175),FLOOR(AK175/R175,1)))</f>
        <v/>
      </c>
      <c r="AM175" s="38">
        <f>IF(AL175="","",AL175*T175)</f>
        <v/>
      </c>
      <c r="AN175" s="36">
        <f>IF(OR(AG175="",R175=0),"",MIN(IF(AS175="",9.9E+99,AS175),AK175/R175))</f>
        <v/>
      </c>
      <c r="AO175" s="38">
        <f>IF(AN175="","",AN175*T175)</f>
        <v/>
      </c>
      <c r="AP175" s="40" t="n"/>
      <c r="AQ175" s="41" t="n"/>
      <c r="AR175" s="41" t="n"/>
      <c r="AS175" s="42" t="n"/>
      <c r="AT175" s="43">
        <f>IF(((S175*pax_cap*load_thin*ROUND(K175*L175*revleg_thin,0))-(((battery/range_nm)*D175*ROUND(K175*L175*revleg_thin,0)*VLOOKUP(B175,country_opex,3,FALSE))+V175+W175+X175+Y175+Z175))&lt;=0,"",VLOOKUP(B175,country_opex,7,FALSE)/((S175*pax_cap*load_thin*ROUND(K175*L175*revleg_thin,0))-(((battery/range_nm)*D175*ROUND(K175*L175*revleg_thin,0)*VLOOKUP(B175,country_opex,3,FALSE))+V175+W175+X175+Y175+Z175)))</f>
        <v/>
      </c>
      <c r="AU175" s="43">
        <f>IF(((S175*pax_cap*load_mid*ROUND(K175*L175*revleg_mid,0))-(((battery/range_nm)*D175*ROUND(K175*L175*revleg_mid,0)*VLOOKUP(B175,country_opex,3,FALSE))+V175+W175+X175+Y175+Z175))&lt;=0,"",VLOOKUP(B175,country_opex,7,FALSE)/((S175*pax_cap*load_mid*ROUND(K175*L175*revleg_mid,0))-(((battery/range_nm)*D175*ROUND(K175*L175*revleg_mid,0)*VLOOKUP(B175,country_opex,3,FALSE))+V175+W175+X175+Y175+Z175)))</f>
        <v/>
      </c>
      <c r="AV175" s="43">
        <f>IF(((S175*pax_cap*load_full*ROUND(K175*L175*revleg_full,0))-(((battery/range_nm)*D175*ROUND(K175*L175*revleg_full,0)*VLOOKUP(B175,country_opex,3,FALSE))+V175+W175+X175+Y175+Z175))&lt;=0,"",VLOOKUP(B175,country_opex,7,FALSE)/((S175*pax_cap*load_full*ROUND(K175*L175*revleg_full,0))-(((battery/range_nm)*D175*ROUND(K175*L175*revleg_full,0)*VLOOKUP(B175,country_opex,3,FALSE))+V175+W175+X175+Y175+Z175)))</f>
        <v/>
      </c>
      <c r="AW175" s="44" t="inlineStr">
        <is>
          <t>RTA/Dubai-Ferry official ladder (R-RTA, T1): Water Taxi on-demand single AED 150/pax = $40.8; Dubai Ferry Gold AED 75 = $20.4, Silver AED 50 = $13.6; Water Bus AED 7; Abra AED 1. dubai-ferry.com / rta.ae 2025/26. Creek Marina&lt;-&gt;Al Seef is an operating RTA marine corridor.</t>
        </is>
      </c>
      <c r="AX175" s="44" t="inlineStr">
        <is>
          <t>18.4M RTA marine is ~all sub-1km abras (R3-ABRA); premium water-taxi/ferry tier is a small fraction.</t>
        </is>
      </c>
    </row>
    <row r="176">
      <c r="A176" s="29" t="inlineStr">
        <is>
          <t>Bolt Uae</t>
        </is>
      </c>
      <c r="B176" s="29" t="inlineStr">
        <is>
          <t>United Arab Emirates</t>
        </is>
      </c>
      <c r="C176" s="30" t="inlineStr">
        <is>
          <t>Yacht Marina → The Westin Dubai Mina Seyahi Beach Resort &amp; Marina</t>
        </is>
      </c>
      <c r="D176" s="31" t="n">
        <v>1.5</v>
      </c>
      <c r="E176" s="26" t="n">
        <v>95</v>
      </c>
      <c r="F176" s="32" t="inlineStr">
        <is>
          <t>T4</t>
        </is>
      </c>
      <c r="G176" s="32" t="inlineStr">
        <is>
          <t>low</t>
        </is>
      </c>
      <c r="H176" s="19" t="n">
        <v>1</v>
      </c>
      <c r="I176" s="33">
        <f>60*D176/cruise_kt</f>
        <v/>
      </c>
      <c r="J176" s="33">
        <f>I176+turn_min+dwell_min</f>
        <v/>
      </c>
      <c r="K176" s="34">
        <f>MIN(10,FLOOR(60*service_hr/J176,1))</f>
        <v/>
      </c>
      <c r="L176" s="34">
        <f>ROUND(365*mech_uptime*H176,0)</f>
        <v/>
      </c>
      <c r="M176" s="35">
        <f>mech_uptime</f>
        <v/>
      </c>
      <c r="N176" s="35">
        <f>revleg_sel</f>
        <v/>
      </c>
      <c r="O176" s="34">
        <f>ROUND(K176*L176*revleg_sel,0)</f>
        <v/>
      </c>
      <c r="P176" s="36">
        <f>load_sel</f>
        <v/>
      </c>
      <c r="Q176" s="36">
        <f>pax_cap*P176</f>
        <v/>
      </c>
      <c r="R176" s="34">
        <f>Q176*O176</f>
        <v/>
      </c>
      <c r="S176" s="37">
        <f>E176*discount</f>
        <v/>
      </c>
      <c r="T176" s="38">
        <f>S176*R176</f>
        <v/>
      </c>
      <c r="U176" s="38">
        <f>(battery/range_nm)*D176*O176*VLOOKUP(B176,country_opex,3,FALSE)</f>
        <v/>
      </c>
      <c r="V176" s="38">
        <f>VLOOKUP(B176,country_opex,2,FALSE)*crew_factor</f>
        <v/>
      </c>
      <c r="W176" s="38">
        <f>VLOOKUP(B176,country_opex,5,FALSE)</f>
        <v/>
      </c>
      <c r="X176" s="38">
        <f>maint</f>
        <v/>
      </c>
      <c r="Y176" s="38">
        <f>VLOOKUP(B176,country_opex,7,FALSE)*ins_pct</f>
        <v/>
      </c>
      <c r="Z176" s="38">
        <f>charge_berth</f>
        <v/>
      </c>
      <c r="AA176" s="38">
        <f>U176+V176+W176+X176+Y176+Z176</f>
        <v/>
      </c>
      <c r="AB176" s="38">
        <f>VLOOKUP(B176,country_opex,7,FALSE)/dep_years</f>
        <v/>
      </c>
      <c r="AC176" s="38">
        <f>T176-AA176</f>
        <v/>
      </c>
      <c r="AD176" s="35">
        <f>IF(T176=0,"",AC176/T176)</f>
        <v/>
      </c>
      <c r="AE176" s="36">
        <f>IF(AC176&lt;=0,"",VLOOKUP(B176,country_opex,7,FALSE)/AC176)</f>
        <v/>
      </c>
      <c r="AF176" s="33">
        <f>((D176*O176/diesel_nmpg)*diesel_co2pg-(battery/range_nm)*D176*O176*VLOOKUP(B176,country_opex,4,FALSE))/1000</f>
        <v/>
      </c>
      <c r="AG176" s="31" t="n">
        <v>25000</v>
      </c>
      <c r="AH176" s="32" t="inlineStr">
        <is>
          <t>T3</t>
        </is>
      </c>
      <c r="AI176" s="32" t="inlineStr">
        <is>
          <t>low</t>
        </is>
      </c>
      <c r="AJ176" s="39" t="n">
        <v>0.1</v>
      </c>
      <c r="AK176" s="34">
        <f>IF(AG176="","",AG176*AJ176)</f>
        <v/>
      </c>
      <c r="AL176" s="34">
        <f>IF(OR(AG176="",R176=0),"",MIN(IF(AS176="",9.9E+99,AS176),FLOOR(AK176/R176,1)))</f>
        <v/>
      </c>
      <c r="AM176" s="38">
        <f>IF(AL176="","",AL176*T176)</f>
        <v/>
      </c>
      <c r="AN176" s="36">
        <f>IF(OR(AG176="",R176=0),"",MIN(IF(AS176="",9.9E+99,AS176),AK176/R176))</f>
        <v/>
      </c>
      <c r="AO176" s="38">
        <f>IF(AN176="","",AN176*T176)</f>
        <v/>
      </c>
      <c r="AP176" s="40" t="n"/>
      <c r="AQ176" s="41" t="n"/>
      <c r="AR176" s="41" t="n"/>
      <c r="AS176" s="42" t="n"/>
      <c r="AT176" s="43">
        <f>IF(((S176*pax_cap*load_thin*ROUND(K176*L176*revleg_thin,0))-(((battery/range_nm)*D176*ROUND(K176*L176*revleg_thin,0)*VLOOKUP(B176,country_opex,3,FALSE))+V176+W176+X176+Y176+Z176))&lt;=0,"",VLOOKUP(B176,country_opex,7,FALSE)/((S176*pax_cap*load_thin*ROUND(K176*L176*revleg_thin,0))-(((battery/range_nm)*D176*ROUND(K176*L176*revleg_thin,0)*VLOOKUP(B176,country_opex,3,FALSE))+V176+W176+X176+Y176+Z176)))</f>
        <v/>
      </c>
      <c r="AU176" s="43">
        <f>IF(((S176*pax_cap*load_mid*ROUND(K176*L176*revleg_mid,0))-(((battery/range_nm)*D176*ROUND(K176*L176*revleg_mid,0)*VLOOKUP(B176,country_opex,3,FALSE))+V176+W176+X176+Y176+Z176))&lt;=0,"",VLOOKUP(B176,country_opex,7,FALSE)/((S176*pax_cap*load_mid*ROUND(K176*L176*revleg_mid,0))-(((battery/range_nm)*D176*ROUND(K176*L176*revleg_mid,0)*VLOOKUP(B176,country_opex,3,FALSE))+V176+W176+X176+Y176+Z176)))</f>
        <v/>
      </c>
      <c r="AV176" s="43">
        <f>IF(((S176*pax_cap*load_full*ROUND(K176*L176*revleg_full,0))-(((battery/range_nm)*D176*ROUND(K176*L176*revleg_full,0)*VLOOKUP(B176,country_opex,3,FALSE))+V176+W176+X176+Y176+Z176))&lt;=0,"",VLOOKUP(B176,country_opex,7,FALSE)/((S176*pax_cap*load_full*ROUND(K176*L176*revleg_full,0))-(((battery/range_nm)*D176*ROUND(K176*L176*revleg_full,0)*VLOOKUP(B176,country_opex,3,FALSE))+V176+W176+X176+Y176+Z176)))</f>
        <v/>
      </c>
      <c r="AW176" s="44" t="inlineStr">
        <is>
          <t>RTA/Dubai-Ferry official ladder (R-RTA, T1): Water Taxi on-demand single AED 150/pax = $40.8; Dubai Ferry Gold AED 75 = $20.4, Silver AED 50 = $13.6; Water Bus AED 7; Abra AED 1. dubai-ferry.com / rta.ae 2025/26. Dubai Marina (Mina Seyahi) premium resort hop.</t>
        </is>
      </c>
      <c r="AX176" s="44" t="inlineStr">
        <is>
          <t>UAE-DEMAND-ANCHORS-2026-06-17.json — tier-based addressable pool derived from sourcing wave anchors (hotel keys × occ × shuttle adoption, marina activity, RTA marine baseline).</t>
        </is>
      </c>
    </row>
    <row r="177">
      <c r="A177" s="29" t="inlineStr">
        <is>
          <t>Bolt Uae</t>
        </is>
      </c>
      <c r="B177" s="29" t="inlineStr">
        <is>
          <t>United Arab Emirates</t>
        </is>
      </c>
      <c r="C177" s="30" t="inlineStr">
        <is>
          <t>Marina Mall / Breakwater Marina → Lulu Island Jetty</t>
        </is>
      </c>
      <c r="D177" s="31" t="n">
        <v>1.7</v>
      </c>
      <c r="E177" s="26" t="n">
        <v>45</v>
      </c>
      <c r="F177" s="32" t="inlineStr">
        <is>
          <t>T4</t>
        </is>
      </c>
      <c r="G177" s="32" t="inlineStr">
        <is>
          <t>low</t>
        </is>
      </c>
      <c r="H177" s="19" t="n">
        <v>1</v>
      </c>
      <c r="I177" s="33">
        <f>60*D177/cruise_kt</f>
        <v/>
      </c>
      <c r="J177" s="33">
        <f>I177+turn_min+dwell_min</f>
        <v/>
      </c>
      <c r="K177" s="34">
        <f>MIN(10,FLOOR(60*service_hr/J177,1))</f>
        <v/>
      </c>
      <c r="L177" s="34">
        <f>ROUND(365*mech_uptime*H177,0)</f>
        <v/>
      </c>
      <c r="M177" s="35">
        <f>mech_uptime</f>
        <v/>
      </c>
      <c r="N177" s="35">
        <f>revleg_sel</f>
        <v/>
      </c>
      <c r="O177" s="34">
        <f>ROUND(K177*L177*revleg_sel,0)</f>
        <v/>
      </c>
      <c r="P177" s="36">
        <f>load_sel</f>
        <v/>
      </c>
      <c r="Q177" s="36">
        <f>pax_cap*P177</f>
        <v/>
      </c>
      <c r="R177" s="34">
        <f>Q177*O177</f>
        <v/>
      </c>
      <c r="S177" s="37">
        <f>E177*discount</f>
        <v/>
      </c>
      <c r="T177" s="38">
        <f>S177*R177</f>
        <v/>
      </c>
      <c r="U177" s="38">
        <f>(battery/range_nm)*D177*O177*VLOOKUP(B177,country_opex,3,FALSE)</f>
        <v/>
      </c>
      <c r="V177" s="38">
        <f>VLOOKUP(B177,country_opex,2,FALSE)*crew_factor</f>
        <v/>
      </c>
      <c r="W177" s="38">
        <f>VLOOKUP(B177,country_opex,5,FALSE)</f>
        <v/>
      </c>
      <c r="X177" s="38">
        <f>maint</f>
        <v/>
      </c>
      <c r="Y177" s="38">
        <f>VLOOKUP(B177,country_opex,7,FALSE)*ins_pct</f>
        <v/>
      </c>
      <c r="Z177" s="38">
        <f>charge_berth</f>
        <v/>
      </c>
      <c r="AA177" s="38">
        <f>U177+V177+W177+X177+Y177+Z177</f>
        <v/>
      </c>
      <c r="AB177" s="38">
        <f>VLOOKUP(B177,country_opex,7,FALSE)/dep_years</f>
        <v/>
      </c>
      <c r="AC177" s="38">
        <f>T177-AA177</f>
        <v/>
      </c>
      <c r="AD177" s="35">
        <f>IF(T177=0,"",AC177/T177)</f>
        <v/>
      </c>
      <c r="AE177" s="36">
        <f>IF(AC177&lt;=0,"",VLOOKUP(B177,country_opex,7,FALSE)/AC177)</f>
        <v/>
      </c>
      <c r="AF177" s="33">
        <f>((D177*O177/diesel_nmpg)*diesel_co2pg-(battery/range_nm)*D177*O177*VLOOKUP(B177,country_opex,4,FALSE))/1000</f>
        <v/>
      </c>
      <c r="AG177" s="31" t="n">
        <v>20000</v>
      </c>
      <c r="AH177" s="32" t="inlineStr">
        <is>
          <t>T5</t>
        </is>
      </c>
      <c r="AI177" s="32" t="inlineStr">
        <is>
          <t>low</t>
        </is>
      </c>
      <c r="AJ177" s="39" t="n">
        <v>0.1</v>
      </c>
      <c r="AK177" s="34">
        <f>IF(AG177="","",AG177*AJ177)</f>
        <v/>
      </c>
      <c r="AL177" s="34">
        <f>IF(OR(AG177="",R177=0),"",MIN(IF(AS177="",9.9E+99,AS177),FLOOR(AK177/R177,1)))</f>
        <v/>
      </c>
      <c r="AM177" s="38">
        <f>IF(AL177="","",AL177*T177)</f>
        <v/>
      </c>
      <c r="AN177" s="36">
        <f>IF(OR(AG177="",R177=0),"",MIN(IF(AS177="",9.9E+99,AS177),AK177/R177))</f>
        <v/>
      </c>
      <c r="AO177" s="38">
        <f>IF(AN177="","",AN177*T177)</f>
        <v/>
      </c>
      <c r="AP177" s="40" t="n"/>
      <c r="AQ177" s="41" t="n"/>
      <c r="AR177" s="41" t="n"/>
      <c r="AS177" s="42" t="n"/>
      <c r="AT177" s="43">
        <f>IF(((S177*pax_cap*load_thin*ROUND(K177*L177*revleg_thin,0))-(((battery/range_nm)*D177*ROUND(K177*L177*revleg_thin,0)*VLOOKUP(B177,country_opex,3,FALSE))+V177+W177+X177+Y177+Z177))&lt;=0,"",VLOOKUP(B177,country_opex,7,FALSE)/((S177*pax_cap*load_thin*ROUND(K177*L177*revleg_thin,0))-(((battery/range_nm)*D177*ROUND(K177*L177*revleg_thin,0)*VLOOKUP(B177,country_opex,3,FALSE))+V177+W177+X177+Y177+Z177)))</f>
        <v/>
      </c>
      <c r="AU177" s="43">
        <f>IF(((S177*pax_cap*load_mid*ROUND(K177*L177*revleg_mid,0))-(((battery/range_nm)*D177*ROUND(K177*L177*revleg_mid,0)*VLOOKUP(B177,country_opex,3,FALSE))+V177+W177+X177+Y177+Z177))&lt;=0,"",VLOOKUP(B177,country_opex,7,FALSE)/((S177*pax_cap*load_mid*ROUND(K177*L177*revleg_mid,0))-(((battery/range_nm)*D177*ROUND(K177*L177*revleg_mid,0)*VLOOKUP(B177,country_opex,3,FALSE))+V177+W177+X177+Y177+Z177)))</f>
        <v/>
      </c>
      <c r="AV177" s="43">
        <f>IF(((S177*pax_cap*load_full*ROUND(K177*L177*revleg_full,0))-(((battery/range_nm)*D177*ROUND(K177*L177*revleg_full,0)*VLOOKUP(B177,country_opex,3,FALSE))+V177+W177+X177+Y177+Z177))&lt;=0,"",VLOOKUP(B177,country_opex,7,FALSE)/((S177*pax_cap*load_full*ROUND(K177*L177*revleg_full,0))-(((battery/range_nm)*D177*ROUND(K177*L177*revleg_full,0)*VLOOKUP(B177,country_opex,3,FALSE))+V177+W177+X177+Y177+Z177)))</f>
        <v/>
      </c>
      <c r="AW177" s="44" t="inlineStr">
        <is>
          <t>RTA/Dubai-Ferry official ladder (R-RTA, T1): Water Taxi on-demand single AED 150/pax = $40.8; Dubai Ferry Gold AED 75 = $20.4, Silver AED 50 = $13.6; Water Bus AED 7; Abra AED 1. dubai-ferry.com / rta.ae 2025/26. Lulu Island - boat-only undeveloped island fronting the Corniche.</t>
        </is>
      </c>
      <c r="AX177" s="44" t="inlineStr">
        <is>
          <t>Lulu boat-only (R3-EXCEPTION) but undeveloped/limited-access -&gt; small day-visit pool.</t>
        </is>
      </c>
    </row>
    <row r="178">
      <c r="A178" s="29" t="inlineStr">
        <is>
          <t>Bolt Uae</t>
        </is>
      </c>
      <c r="B178" s="29" t="inlineStr">
        <is>
          <t>United Arab Emirates</t>
        </is>
      </c>
      <c r="C178" s="30" t="inlineStr">
        <is>
          <t>Dubai Harbour Marina → Palm Jumeirah Marina West</t>
        </is>
      </c>
      <c r="D178" s="31" t="n">
        <v>2.1</v>
      </c>
      <c r="E178" s="26" t="n">
        <v>48</v>
      </c>
      <c r="F178" s="32" t="inlineStr">
        <is>
          <t>T1</t>
        </is>
      </c>
      <c r="G178" s="32" t="inlineStr">
        <is>
          <t>high</t>
        </is>
      </c>
      <c r="H178" s="19" t="n">
        <v>1</v>
      </c>
      <c r="I178" s="33">
        <f>60*D178/cruise_kt</f>
        <v/>
      </c>
      <c r="J178" s="33">
        <f>I178+turn_min+dwell_min</f>
        <v/>
      </c>
      <c r="K178" s="34">
        <f>MIN(10,FLOOR(60*service_hr/J178,1))</f>
        <v/>
      </c>
      <c r="L178" s="34">
        <f>ROUND(365*mech_uptime*H178,0)</f>
        <v/>
      </c>
      <c r="M178" s="35">
        <f>mech_uptime</f>
        <v/>
      </c>
      <c r="N178" s="35">
        <f>revleg_sel</f>
        <v/>
      </c>
      <c r="O178" s="34">
        <f>ROUND(K178*L178*revleg_sel,0)</f>
        <v/>
      </c>
      <c r="P178" s="36">
        <f>load_sel</f>
        <v/>
      </c>
      <c r="Q178" s="36">
        <f>pax_cap*P178</f>
        <v/>
      </c>
      <c r="R178" s="34">
        <f>Q178*O178</f>
        <v/>
      </c>
      <c r="S178" s="37">
        <f>E178*discount</f>
        <v/>
      </c>
      <c r="T178" s="38">
        <f>S178*R178</f>
        <v/>
      </c>
      <c r="U178" s="38">
        <f>(battery/range_nm)*D178*O178*VLOOKUP(B178,country_opex,3,FALSE)</f>
        <v/>
      </c>
      <c r="V178" s="38">
        <f>VLOOKUP(B178,country_opex,2,FALSE)*crew_factor</f>
        <v/>
      </c>
      <c r="W178" s="38">
        <f>VLOOKUP(B178,country_opex,5,FALSE)</f>
        <v/>
      </c>
      <c r="X178" s="38">
        <f>maint</f>
        <v/>
      </c>
      <c r="Y178" s="38">
        <f>VLOOKUP(B178,country_opex,7,FALSE)*ins_pct</f>
        <v/>
      </c>
      <c r="Z178" s="38">
        <f>charge_berth</f>
        <v/>
      </c>
      <c r="AA178" s="38">
        <f>U178+V178+W178+X178+Y178+Z178</f>
        <v/>
      </c>
      <c r="AB178" s="38">
        <f>VLOOKUP(B178,country_opex,7,FALSE)/dep_years</f>
        <v/>
      </c>
      <c r="AC178" s="38">
        <f>T178-AA178</f>
        <v/>
      </c>
      <c r="AD178" s="35">
        <f>IF(T178=0,"",AC178/T178)</f>
        <v/>
      </c>
      <c r="AE178" s="36">
        <f>IF(AC178&lt;=0,"",VLOOKUP(B178,country_opex,7,FALSE)/AC178)</f>
        <v/>
      </c>
      <c r="AF178" s="33">
        <f>((D178*O178/diesel_nmpg)*diesel_co2pg-(battery/range_nm)*D178*O178*VLOOKUP(B178,country_opex,4,FALSE))/1000</f>
        <v/>
      </c>
      <c r="AG178" s="31" t="n">
        <v>35000</v>
      </c>
      <c r="AH178" s="32" t="inlineStr">
        <is>
          <t>T3</t>
        </is>
      </c>
      <c r="AI178" s="32" t="inlineStr">
        <is>
          <t>low</t>
        </is>
      </c>
      <c r="AJ178" s="39" t="n">
        <v>0.1</v>
      </c>
      <c r="AK178" s="34">
        <f>IF(AG178="","",AG178*AJ178)</f>
        <v/>
      </c>
      <c r="AL178" s="34">
        <f>IF(OR(AG178="",R178=0),"",MIN(IF(AS178="",9.9E+99,AS178),FLOOR(AK178/R178,1)))</f>
        <v/>
      </c>
      <c r="AM178" s="38">
        <f>IF(AL178="","",AL178*T178)</f>
        <v/>
      </c>
      <c r="AN178" s="36">
        <f>IF(OR(AG178="",R178=0),"",MIN(IF(AS178="",9.9E+99,AS178),AK178/R178))</f>
        <v/>
      </c>
      <c r="AO178" s="38">
        <f>IF(AN178="","",AN178*T178)</f>
        <v/>
      </c>
      <c r="AP178" s="40" t="n"/>
      <c r="AQ178" s="41" t="n"/>
      <c r="AR178" s="41" t="n"/>
      <c r="AS178" s="42" t="n"/>
      <c r="AT178" s="43">
        <f>IF(((S178*pax_cap*load_thin*ROUND(K178*L178*revleg_thin,0))-(((battery/range_nm)*D178*ROUND(K178*L178*revleg_thin,0)*VLOOKUP(B178,country_opex,3,FALSE))+V178+W178+X178+Y178+Z178))&lt;=0,"",VLOOKUP(B178,country_opex,7,FALSE)/((S178*pax_cap*load_thin*ROUND(K178*L178*revleg_thin,0))-(((battery/range_nm)*D178*ROUND(K178*L178*revleg_thin,0)*VLOOKUP(B178,country_opex,3,FALSE))+V178+W178+X178+Y178+Z178)))</f>
        <v/>
      </c>
      <c r="AU178" s="43">
        <f>IF(((S178*pax_cap*load_mid*ROUND(K178*L178*revleg_mid,0))-(((battery/range_nm)*D178*ROUND(K178*L178*revleg_mid,0)*VLOOKUP(B178,country_opex,3,FALSE))+V178+W178+X178+Y178+Z178))&lt;=0,"",VLOOKUP(B178,country_opex,7,FALSE)/((S178*pax_cap*load_mid*ROUND(K178*L178*revleg_mid,0))-(((battery/range_nm)*D178*ROUND(K178*L178*revleg_mid,0)*VLOOKUP(B178,country_opex,3,FALSE))+V178+W178+X178+Y178+Z178)))</f>
        <v/>
      </c>
      <c r="AV178" s="43">
        <f>IF(((S178*pax_cap*load_full*ROUND(K178*L178*revleg_full,0))-(((battery/range_nm)*D178*ROUND(K178*L178*revleg_full,0)*VLOOKUP(B178,country_opex,3,FALSE))+V178+W178+X178+Y178+Z178))&lt;=0,"",VLOOKUP(B178,country_opex,7,FALSE)/((S178*pax_cap*load_full*ROUND(K178*L178*revleg_full,0))-(((battery/range_nm)*D178*ROUND(K178*L178*revleg_full,0)*VLOOKUP(B178,country_opex,3,FALSE))+V178+W178+X178+Y178+Z178)))</f>
        <v/>
      </c>
      <c r="AW178" s="44" t="inlineStr">
        <is>
          <t>RTA/Dubai-Ferry official ladder (R-RTA, T1): Water Taxi on-demand single AED 150/pax = $40.8; Dubai Ferry Gold AED 75 = $20.4, Silver AED 50 = $13.6; Water Bus AED 7; Abra AED 1. dubai-ferry.com / rta.ae 2025/26. Palm Jumeirah served by RTA Water Taxi + Dubai Ferry.</t>
        </is>
      </c>
      <c r="AX178" s="44" t="inlineStr">
        <is>
          <t>UAE-DEMAND-ANCHORS-2026-06-17.json — tier-based addressable pool derived from sourcing wave anchors (hotel keys × occ × shuttle adoption, marina activity, RTA marine baseline).</t>
        </is>
      </c>
    </row>
    <row r="179">
      <c r="A179" s="29" t="inlineStr">
        <is>
          <t>Bolt Uae</t>
        </is>
      </c>
      <c r="B179" s="29" t="inlineStr">
        <is>
          <t>United Arab Emirates</t>
        </is>
      </c>
      <c r="C179" s="30" t="inlineStr">
        <is>
          <t>Al Bateen Marina → Emirates Palace Marina</t>
        </is>
      </c>
      <c r="D179" s="31" t="n">
        <v>2.2</v>
      </c>
      <c r="E179" s="26" t="n">
        <v>150</v>
      </c>
      <c r="F179" s="32" t="inlineStr">
        <is>
          <t>T5</t>
        </is>
      </c>
      <c r="G179" s="32" t="inlineStr">
        <is>
          <t>low</t>
        </is>
      </c>
      <c r="H179" s="19" t="n">
        <v>1</v>
      </c>
      <c r="I179" s="33">
        <f>60*D179/cruise_kt</f>
        <v/>
      </c>
      <c r="J179" s="33">
        <f>I179+turn_min+dwell_min</f>
        <v/>
      </c>
      <c r="K179" s="34">
        <f>MIN(10,FLOOR(60*service_hr/J179,1))</f>
        <v/>
      </c>
      <c r="L179" s="34">
        <f>ROUND(365*mech_uptime*H179,0)</f>
        <v/>
      </c>
      <c r="M179" s="35">
        <f>mech_uptime</f>
        <v/>
      </c>
      <c r="N179" s="35">
        <f>revleg_sel</f>
        <v/>
      </c>
      <c r="O179" s="34">
        <f>ROUND(K179*L179*revleg_sel,0)</f>
        <v/>
      </c>
      <c r="P179" s="36">
        <f>load_sel</f>
        <v/>
      </c>
      <c r="Q179" s="36">
        <f>pax_cap*P179</f>
        <v/>
      </c>
      <c r="R179" s="34">
        <f>Q179*O179</f>
        <v/>
      </c>
      <c r="S179" s="37">
        <f>E179*discount</f>
        <v/>
      </c>
      <c r="T179" s="38">
        <f>S179*R179</f>
        <v/>
      </c>
      <c r="U179" s="38">
        <f>(battery/range_nm)*D179*O179*VLOOKUP(B179,country_opex,3,FALSE)</f>
        <v/>
      </c>
      <c r="V179" s="38">
        <f>VLOOKUP(B179,country_opex,2,FALSE)*crew_factor</f>
        <v/>
      </c>
      <c r="W179" s="38">
        <f>VLOOKUP(B179,country_opex,5,FALSE)</f>
        <v/>
      </c>
      <c r="X179" s="38">
        <f>maint</f>
        <v/>
      </c>
      <c r="Y179" s="38">
        <f>VLOOKUP(B179,country_opex,7,FALSE)*ins_pct</f>
        <v/>
      </c>
      <c r="Z179" s="38">
        <f>charge_berth</f>
        <v/>
      </c>
      <c r="AA179" s="38">
        <f>U179+V179+W179+X179+Y179+Z179</f>
        <v/>
      </c>
      <c r="AB179" s="38">
        <f>VLOOKUP(B179,country_opex,7,FALSE)/dep_years</f>
        <v/>
      </c>
      <c r="AC179" s="38">
        <f>T179-AA179</f>
        <v/>
      </c>
      <c r="AD179" s="35">
        <f>IF(T179=0,"",AC179/T179)</f>
        <v/>
      </c>
      <c r="AE179" s="36">
        <f>IF(AC179&lt;=0,"",VLOOKUP(B179,country_opex,7,FALSE)/AC179)</f>
        <v/>
      </c>
      <c r="AF179" s="33">
        <f>((D179*O179/diesel_nmpg)*diesel_co2pg-(battery/range_nm)*D179*O179*VLOOKUP(B179,country_opex,4,FALSE))/1000</f>
        <v/>
      </c>
      <c r="AG179" s="31" t="n">
        <v>20000</v>
      </c>
      <c r="AH179" s="32" t="inlineStr">
        <is>
          <t>T3</t>
        </is>
      </c>
      <c r="AI179" s="32" t="inlineStr">
        <is>
          <t>low</t>
        </is>
      </c>
      <c r="AJ179" s="39" t="n">
        <v>0.1</v>
      </c>
      <c r="AK179" s="34">
        <f>IF(AG179="","",AG179*AJ179)</f>
        <v/>
      </c>
      <c r="AL179" s="34">
        <f>IF(OR(AG179="",R179=0),"",MIN(IF(AS179="",9.9E+99,AS179),FLOOR(AK179/R179,1)))</f>
        <v/>
      </c>
      <c r="AM179" s="38">
        <f>IF(AL179="","",AL179*T179)</f>
        <v/>
      </c>
      <c r="AN179" s="36">
        <f>IF(OR(AG179="",R179=0),"",MIN(IF(AS179="",9.9E+99,AS179),AK179/R179))</f>
        <v/>
      </c>
      <c r="AO179" s="38">
        <f>IF(AN179="","",AN179*T179)</f>
        <v/>
      </c>
      <c r="AP179" s="40" t="n"/>
      <c r="AQ179" s="41" t="n"/>
      <c r="AR179" s="41" t="n"/>
      <c r="AS179" s="42" t="n"/>
      <c r="AT179" s="43">
        <f>IF(((S179*pax_cap*load_thin*ROUND(K179*L179*revleg_thin,0))-(((battery/range_nm)*D179*ROUND(K179*L179*revleg_thin,0)*VLOOKUP(B179,country_opex,3,FALSE))+V179+W179+X179+Y179+Z179))&lt;=0,"",VLOOKUP(B179,country_opex,7,FALSE)/((S179*pax_cap*load_thin*ROUND(K179*L179*revleg_thin,0))-(((battery/range_nm)*D179*ROUND(K179*L179*revleg_thin,0)*VLOOKUP(B179,country_opex,3,FALSE))+V179+W179+X179+Y179+Z179)))</f>
        <v/>
      </c>
      <c r="AU179" s="43">
        <f>IF(((S179*pax_cap*load_mid*ROUND(K179*L179*revleg_mid,0))-(((battery/range_nm)*D179*ROUND(K179*L179*revleg_mid,0)*VLOOKUP(B179,country_opex,3,FALSE))+V179+W179+X179+Y179+Z179))&lt;=0,"",VLOOKUP(B179,country_opex,7,FALSE)/((S179*pax_cap*load_mid*ROUND(K179*L179*revleg_mid,0))-(((battery/range_nm)*D179*ROUND(K179*L179*revleg_mid,0)*VLOOKUP(B179,country_opex,3,FALSE))+V179+W179+X179+Y179+Z179)))</f>
        <v/>
      </c>
      <c r="AV179" s="43">
        <f>IF(((S179*pax_cap*load_full*ROUND(K179*L179*revleg_full,0))-(((battery/range_nm)*D179*ROUND(K179*L179*revleg_full,0)*VLOOKUP(B179,country_opex,3,FALSE))+V179+W179+X179+Y179+Z179))&lt;=0,"",VLOOKUP(B179,country_opex,7,FALSE)/((S179*pax_cap*load_full*ROUND(K179*L179*revleg_full,0))-(((battery/range_nm)*D179*ROUND(K179*L179*revleg_full,0)*VLOOKUP(B179,country_opex,3,FALSE))+V179+W179+X179+Y179+Z179)))</f>
        <v/>
      </c>
      <c r="AW179" s="44" t="inlineStr">
        <is>
          <t>Emirates Palace (flagship AD luxury hotel) marina arrival; road-served; opportunity-to-create. T5/low.</t>
        </is>
      </c>
      <c r="AX179" s="44" t="inlineStr">
        <is>
          <t>UAE-DEMAND-ANCHORS-2026-06-17.json — tier-based addressable pool derived from sourcing wave anchors (hotel keys × occ × shuttle adoption, marina activity, RTA marine baseline).</t>
        </is>
      </c>
    </row>
    <row r="180">
      <c r="A180" s="29" t="inlineStr">
        <is>
          <t>Bolt Uae</t>
        </is>
      </c>
      <c r="B180" s="29" t="inlineStr">
        <is>
          <t>United Arab Emirates</t>
        </is>
      </c>
      <c r="C180" s="30" t="inlineStr">
        <is>
          <t>Côte d'Azur Resort Marina (Heart of Europe) → Anantara World Islands Resort Jetty (planned)</t>
        </is>
      </c>
      <c r="D180" s="31" t="n">
        <v>2.4</v>
      </c>
      <c r="E180" s="26" t="n">
        <v>150</v>
      </c>
      <c r="F180" s="32" t="inlineStr">
        <is>
          <t>T5</t>
        </is>
      </c>
      <c r="G180" s="32" t="inlineStr">
        <is>
          <t>low</t>
        </is>
      </c>
      <c r="H180" s="19" t="n">
        <v>1</v>
      </c>
      <c r="I180" s="33">
        <f>60*D180/cruise_kt</f>
        <v/>
      </c>
      <c r="J180" s="33">
        <f>I180+turn_min+dwell_min</f>
        <v/>
      </c>
      <c r="K180" s="34">
        <f>MIN(10,FLOOR(60*service_hr/J180,1))</f>
        <v/>
      </c>
      <c r="L180" s="34">
        <f>ROUND(365*mech_uptime*H180,0)</f>
        <v/>
      </c>
      <c r="M180" s="35">
        <f>mech_uptime</f>
        <v/>
      </c>
      <c r="N180" s="35">
        <f>revleg_sel</f>
        <v/>
      </c>
      <c r="O180" s="34">
        <f>ROUND(K180*L180*revleg_sel,0)</f>
        <v/>
      </c>
      <c r="P180" s="36">
        <f>load_sel</f>
        <v/>
      </c>
      <c r="Q180" s="36">
        <f>pax_cap*P180</f>
        <v/>
      </c>
      <c r="R180" s="34">
        <f>Q180*O180</f>
        <v/>
      </c>
      <c r="S180" s="37">
        <f>E180*discount</f>
        <v/>
      </c>
      <c r="T180" s="38">
        <f>S180*R180</f>
        <v/>
      </c>
      <c r="U180" s="38">
        <f>(battery/range_nm)*D180*O180*VLOOKUP(B180,country_opex,3,FALSE)</f>
        <v/>
      </c>
      <c r="V180" s="38">
        <f>VLOOKUP(B180,country_opex,2,FALSE)*crew_factor</f>
        <v/>
      </c>
      <c r="W180" s="38">
        <f>VLOOKUP(B180,country_opex,5,FALSE)</f>
        <v/>
      </c>
      <c r="X180" s="38">
        <f>maint</f>
        <v/>
      </c>
      <c r="Y180" s="38">
        <f>VLOOKUP(B180,country_opex,7,FALSE)*ins_pct</f>
        <v/>
      </c>
      <c r="Z180" s="38">
        <f>charge_berth</f>
        <v/>
      </c>
      <c r="AA180" s="38">
        <f>U180+V180+W180+X180+Y180+Z180</f>
        <v/>
      </c>
      <c r="AB180" s="38">
        <f>VLOOKUP(B180,country_opex,7,FALSE)/dep_years</f>
        <v/>
      </c>
      <c r="AC180" s="38">
        <f>T180-AA180</f>
        <v/>
      </c>
      <c r="AD180" s="35">
        <f>IF(T180=0,"",AC180/T180)</f>
        <v/>
      </c>
      <c r="AE180" s="36">
        <f>IF(AC180&lt;=0,"",VLOOKUP(B180,country_opex,7,FALSE)/AC180)</f>
        <v/>
      </c>
      <c r="AF180" s="33">
        <f>((D180*O180/diesel_nmpg)*diesel_co2pg-(battery/range_nm)*D180*O180*VLOOKUP(B180,country_opex,4,FALSE))/1000</f>
        <v/>
      </c>
      <c r="AG180" s="31" t="n">
        <v>25000</v>
      </c>
      <c r="AH180" s="32" t="inlineStr">
        <is>
          <t>T3</t>
        </is>
      </c>
      <c r="AI180" s="32" t="inlineStr">
        <is>
          <t>low</t>
        </is>
      </c>
      <c r="AJ180" s="39" t="n">
        <v>0.1</v>
      </c>
      <c r="AK180" s="34">
        <f>IF(AG180="","",AG180*AJ180)</f>
        <v/>
      </c>
      <c r="AL180" s="34">
        <f>IF(OR(AG180="",R180=0),"",MIN(IF(AS180="",9.9E+99,AS180),FLOOR(AK180/R180,1)))</f>
        <v/>
      </c>
      <c r="AM180" s="38">
        <f>IF(AL180="","",AL180*T180)</f>
        <v/>
      </c>
      <c r="AN180" s="36">
        <f>IF(OR(AG180="",R180=0),"",MIN(IF(AS180="",9.9E+99,AS180),AK180/R180))</f>
        <v/>
      </c>
      <c r="AO180" s="38">
        <f>IF(AN180="","",AN180*T180)</f>
        <v/>
      </c>
      <c r="AP180" s="40" t="n"/>
      <c r="AQ180" s="41" t="n"/>
      <c r="AR180" s="41" t="n"/>
      <c r="AS180" s="42" t="n"/>
      <c r="AT180" s="43">
        <f>IF(((S180*pax_cap*load_thin*ROUND(K180*L180*revleg_thin,0))-(((battery/range_nm)*D180*ROUND(K180*L180*revleg_thin,0)*VLOOKUP(B180,country_opex,3,FALSE))+V180+W180+X180+Y180+Z180))&lt;=0,"",VLOOKUP(B180,country_opex,7,FALSE)/((S180*pax_cap*load_thin*ROUND(K180*L180*revleg_thin,0))-(((battery/range_nm)*D180*ROUND(K180*L180*revleg_thin,0)*VLOOKUP(B180,country_opex,3,FALSE))+V180+W180+X180+Y180+Z180)))</f>
        <v/>
      </c>
      <c r="AU180" s="43">
        <f>IF(((S180*pax_cap*load_mid*ROUND(K180*L180*revleg_mid,0))-(((battery/range_nm)*D180*ROUND(K180*L180*revleg_mid,0)*VLOOKUP(B180,country_opex,3,FALSE))+V180+W180+X180+Y180+Z180))&lt;=0,"",VLOOKUP(B180,country_opex,7,FALSE)/((S180*pax_cap*load_mid*ROUND(K180*L180*revleg_mid,0))-(((battery/range_nm)*D180*ROUND(K180*L180*revleg_mid,0)*VLOOKUP(B180,country_opex,3,FALSE))+V180+W180+X180+Y180+Z180)))</f>
        <v/>
      </c>
      <c r="AV180" s="43">
        <f>IF(((S180*pax_cap*load_full*ROUND(K180*L180*revleg_full,0))-(((battery/range_nm)*D180*ROUND(K180*L180*revleg_full,0)*VLOOKUP(B180,country_opex,3,FALSE))+V180+W180+X180+Y180+Z180))&lt;=0,"",VLOOKUP(B180,country_opex,7,FALSE)/((S180*pax_cap*load_full*ROUND(K180*L180*revleg_full,0))-(((battery/range_nm)*D180*ROUND(K180*L180*revleg_full,0)*VLOOKUP(B180,country_opex,3,FALSE))+V180+W180+X180+Y180+Z180)))</f>
        <v/>
      </c>
      <c r="AW180" s="44" t="inlineStr">
        <is>
          <t>Intra-The-World offshore hop; both boat-only. Greenfield premium per-seat. T5/low.</t>
        </is>
      </c>
      <c r="AX180" s="44" t="inlineStr">
        <is>
          <t>UAE-DEMAND-ANCHORS-2026-06-17.json — tier-based addressable pool derived from sourcing wave anchors (hotel keys × occ × shuttle adoption, marina activity, RTA marine baseline).</t>
        </is>
      </c>
    </row>
    <row r="181">
      <c r="A181" s="29" t="inlineStr">
        <is>
          <t>Bolt Uae</t>
        </is>
      </c>
      <c r="B181" s="29" t="inlineStr">
        <is>
          <t>United Arab Emirates</t>
        </is>
      </c>
      <c r="C181" s="30" t="inlineStr">
        <is>
          <t>Marina Mall / Breakwater Marina → Al Bateen Marina</t>
        </is>
      </c>
      <c r="D181" s="31" t="n">
        <v>2.6</v>
      </c>
      <c r="E181" s="26" t="n">
        <v>45</v>
      </c>
      <c r="F181" s="32" t="inlineStr">
        <is>
          <t>T4</t>
        </is>
      </c>
      <c r="G181" s="32" t="inlineStr">
        <is>
          <t>low</t>
        </is>
      </c>
      <c r="H181" s="19" t="n">
        <v>1</v>
      </c>
      <c r="I181" s="33">
        <f>60*D181/cruise_kt</f>
        <v/>
      </c>
      <c r="J181" s="33">
        <f>I181+turn_min+dwell_min</f>
        <v/>
      </c>
      <c r="K181" s="34">
        <f>MIN(10,FLOOR(60*service_hr/J181,1))</f>
        <v/>
      </c>
      <c r="L181" s="34">
        <f>ROUND(365*mech_uptime*H181,0)</f>
        <v/>
      </c>
      <c r="M181" s="35">
        <f>mech_uptime</f>
        <v/>
      </c>
      <c r="N181" s="35">
        <f>revleg_sel</f>
        <v/>
      </c>
      <c r="O181" s="34">
        <f>ROUND(K181*L181*revleg_sel,0)</f>
        <v/>
      </c>
      <c r="P181" s="36">
        <f>load_sel</f>
        <v/>
      </c>
      <c r="Q181" s="36">
        <f>pax_cap*P181</f>
        <v/>
      </c>
      <c r="R181" s="34">
        <f>Q181*O181</f>
        <v/>
      </c>
      <c r="S181" s="37">
        <f>E181*discount</f>
        <v/>
      </c>
      <c r="T181" s="38">
        <f>S181*R181</f>
        <v/>
      </c>
      <c r="U181" s="38">
        <f>(battery/range_nm)*D181*O181*VLOOKUP(B181,country_opex,3,FALSE)</f>
        <v/>
      </c>
      <c r="V181" s="38">
        <f>VLOOKUP(B181,country_opex,2,FALSE)*crew_factor</f>
        <v/>
      </c>
      <c r="W181" s="38">
        <f>VLOOKUP(B181,country_opex,5,FALSE)</f>
        <v/>
      </c>
      <c r="X181" s="38">
        <f>maint</f>
        <v/>
      </c>
      <c r="Y181" s="38">
        <f>VLOOKUP(B181,country_opex,7,FALSE)*ins_pct</f>
        <v/>
      </c>
      <c r="Z181" s="38">
        <f>charge_berth</f>
        <v/>
      </c>
      <c r="AA181" s="38">
        <f>U181+V181+W181+X181+Y181+Z181</f>
        <v/>
      </c>
      <c r="AB181" s="38">
        <f>VLOOKUP(B181,country_opex,7,FALSE)/dep_years</f>
        <v/>
      </c>
      <c r="AC181" s="38">
        <f>T181-AA181</f>
        <v/>
      </c>
      <c r="AD181" s="35">
        <f>IF(T181=0,"",AC181/T181)</f>
        <v/>
      </c>
      <c r="AE181" s="36">
        <f>IF(AC181&lt;=0,"",VLOOKUP(B181,country_opex,7,FALSE)/AC181)</f>
        <v/>
      </c>
      <c r="AF181" s="33">
        <f>((D181*O181/diesel_nmpg)*diesel_co2pg-(battery/range_nm)*D181*O181*VLOOKUP(B181,country_opex,4,FALSE))/1000</f>
        <v/>
      </c>
      <c r="AG181" s="31" t="n">
        <v>50000</v>
      </c>
      <c r="AH181" s="32" t="inlineStr">
        <is>
          <t>T3</t>
        </is>
      </c>
      <c r="AI181" s="32" t="inlineStr">
        <is>
          <t>low</t>
        </is>
      </c>
      <c r="AJ181" s="39" t="n">
        <v>0.1</v>
      </c>
      <c r="AK181" s="34">
        <f>IF(AG181="","",AG181*AJ181)</f>
        <v/>
      </c>
      <c r="AL181" s="34">
        <f>IF(OR(AG181="",R181=0),"",MIN(IF(AS181="",9.9E+99,AS181),FLOOR(AK181/R181,1)))</f>
        <v/>
      </c>
      <c r="AM181" s="38">
        <f>IF(AL181="","",AL181*T181)</f>
        <v/>
      </c>
      <c r="AN181" s="36">
        <f>IF(OR(AG181="",R181=0),"",MIN(IF(AS181="",9.9E+99,AS181),AK181/R181))</f>
        <v/>
      </c>
      <c r="AO181" s="38">
        <f>IF(AN181="","",AN181*T181)</f>
        <v/>
      </c>
      <c r="AP181" s="40" t="n"/>
      <c r="AQ181" s="41" t="n"/>
      <c r="AR181" s="41" t="n"/>
      <c r="AS181" s="42" t="n"/>
      <c r="AT181" s="43">
        <f>IF(((S181*pax_cap*load_thin*ROUND(K181*L181*revleg_thin,0))-(((battery/range_nm)*D181*ROUND(K181*L181*revleg_thin,0)*VLOOKUP(B181,country_opex,3,FALSE))+V181+W181+X181+Y181+Z181))&lt;=0,"",VLOOKUP(B181,country_opex,7,FALSE)/((S181*pax_cap*load_thin*ROUND(K181*L181*revleg_thin,0))-(((battery/range_nm)*D181*ROUND(K181*L181*revleg_thin,0)*VLOOKUP(B181,country_opex,3,FALSE))+V181+W181+X181+Y181+Z181)))</f>
        <v/>
      </c>
      <c r="AU181" s="43">
        <f>IF(((S181*pax_cap*load_mid*ROUND(K181*L181*revleg_mid,0))-(((battery/range_nm)*D181*ROUND(K181*L181*revleg_mid,0)*VLOOKUP(B181,country_opex,3,FALSE))+V181+W181+X181+Y181+Z181))&lt;=0,"",VLOOKUP(B181,country_opex,7,FALSE)/((S181*pax_cap*load_mid*ROUND(K181*L181*revleg_mid,0))-(((battery/range_nm)*D181*ROUND(K181*L181*revleg_mid,0)*VLOOKUP(B181,country_opex,3,FALSE))+V181+W181+X181+Y181+Z181)))</f>
        <v/>
      </c>
      <c r="AV181" s="43">
        <f>IF(((S181*pax_cap*load_full*ROUND(K181*L181*revleg_full,0))-(((battery/range_nm)*D181*ROUND(K181*L181*revleg_full,0)*VLOOKUP(B181,country_opex,3,FALSE))+V181+W181+X181+Y181+Z181))&lt;=0,"",VLOOKUP(B181,country_opex,7,FALSE)/((S181*pax_cap*load_full*ROUND(K181*L181*revleg_full,0))-(((battery/range_nm)*D181*ROUND(K181*L181*revleg_full,0)*VLOOKUP(B181,country_opex,3,FALSE))+V181+W181+X181+Y181+Z181)))</f>
        <v/>
      </c>
      <c r="AW181" s="44" t="inlineStr">
        <is>
          <t>RTA/Dubai-Ferry official ladder (R-RTA, T1): Water Taxi on-demand single AED 150/pax = $40.8; Dubai Ferry Gold AED 75 = $20.4, Silver AED 50 = $13.6; Water Bus AED 7; Abra AED 1. dubai-ferry.com / rta.ae 2025/26. Al Bateen Marina, AD.</t>
        </is>
      </c>
      <c r="AX181" s="44" t="inlineStr">
        <is>
          <t>UAE-DEMAND-ANCHORS-2026-06-17.json — tier-based addressable pool derived from sourcing wave anchors (hotel keys × occ × shuttle adoption, marina activity, RTA marine baseline).</t>
        </is>
      </c>
    </row>
    <row r="182">
      <c r="A182" s="29" t="inlineStr">
        <is>
          <t>Bolt Uae</t>
        </is>
      </c>
      <c r="B182" s="29" t="inlineStr">
        <is>
          <t>United Arab Emirates</t>
        </is>
      </c>
      <c r="C182" s="30" t="inlineStr">
        <is>
          <t>Bulgari Yacht Club &amp; Marina → La Mer / J1 Beach Jetty</t>
        </is>
      </c>
      <c r="D182" s="31" t="n">
        <v>2.6</v>
      </c>
      <c r="E182" s="26" t="n">
        <v>120</v>
      </c>
      <c r="F182" s="32" t="inlineStr">
        <is>
          <t>T5</t>
        </is>
      </c>
      <c r="G182" s="32" t="inlineStr">
        <is>
          <t>low</t>
        </is>
      </c>
      <c r="H182" s="19" t="n">
        <v>1</v>
      </c>
      <c r="I182" s="33">
        <f>60*D182/cruise_kt</f>
        <v/>
      </c>
      <c r="J182" s="33">
        <f>I182+turn_min+dwell_min</f>
        <v/>
      </c>
      <c r="K182" s="34">
        <f>MIN(10,FLOOR(60*service_hr/J182,1))</f>
        <v/>
      </c>
      <c r="L182" s="34">
        <f>ROUND(365*mech_uptime*H182,0)</f>
        <v/>
      </c>
      <c r="M182" s="35">
        <f>mech_uptime</f>
        <v/>
      </c>
      <c r="N182" s="35">
        <f>revleg_sel</f>
        <v/>
      </c>
      <c r="O182" s="34">
        <f>ROUND(K182*L182*revleg_sel,0)</f>
        <v/>
      </c>
      <c r="P182" s="36">
        <f>load_sel</f>
        <v/>
      </c>
      <c r="Q182" s="36">
        <f>pax_cap*P182</f>
        <v/>
      </c>
      <c r="R182" s="34">
        <f>Q182*O182</f>
        <v/>
      </c>
      <c r="S182" s="37">
        <f>E182*discount</f>
        <v/>
      </c>
      <c r="T182" s="38">
        <f>S182*R182</f>
        <v/>
      </c>
      <c r="U182" s="38">
        <f>(battery/range_nm)*D182*O182*VLOOKUP(B182,country_opex,3,FALSE)</f>
        <v/>
      </c>
      <c r="V182" s="38">
        <f>VLOOKUP(B182,country_opex,2,FALSE)*crew_factor</f>
        <v/>
      </c>
      <c r="W182" s="38">
        <f>VLOOKUP(B182,country_opex,5,FALSE)</f>
        <v/>
      </c>
      <c r="X182" s="38">
        <f>maint</f>
        <v/>
      </c>
      <c r="Y182" s="38">
        <f>VLOOKUP(B182,country_opex,7,FALSE)*ins_pct</f>
        <v/>
      </c>
      <c r="Z182" s="38">
        <f>charge_berth</f>
        <v/>
      </c>
      <c r="AA182" s="38">
        <f>U182+V182+W182+X182+Y182+Z182</f>
        <v/>
      </c>
      <c r="AB182" s="38">
        <f>VLOOKUP(B182,country_opex,7,FALSE)/dep_years</f>
        <v/>
      </c>
      <c r="AC182" s="38">
        <f>T182-AA182</f>
        <v/>
      </c>
      <c r="AD182" s="35">
        <f>IF(T182=0,"",AC182/T182)</f>
        <v/>
      </c>
      <c r="AE182" s="36">
        <f>IF(AC182&lt;=0,"",VLOOKUP(B182,country_opex,7,FALSE)/AC182)</f>
        <v/>
      </c>
      <c r="AF182" s="33">
        <f>((D182*O182/diesel_nmpg)*diesel_co2pg-(battery/range_nm)*D182*O182*VLOOKUP(B182,country_opex,4,FALSE))/1000</f>
        <v/>
      </c>
      <c r="AG182" s="31" t="n">
        <v>30000</v>
      </c>
      <c r="AH182" s="32" t="inlineStr">
        <is>
          <t>T3</t>
        </is>
      </c>
      <c r="AI182" s="32" t="inlineStr">
        <is>
          <t>low</t>
        </is>
      </c>
      <c r="AJ182" s="39" t="n">
        <v>0.1</v>
      </c>
      <c r="AK182" s="34">
        <f>IF(AG182="","",AG182*AJ182)</f>
        <v/>
      </c>
      <c r="AL182" s="34">
        <f>IF(OR(AG182="",R182=0),"",MIN(IF(AS182="",9.9E+99,AS182),FLOOR(AK182/R182,1)))</f>
        <v/>
      </c>
      <c r="AM182" s="38">
        <f>IF(AL182="","",AL182*T182)</f>
        <v/>
      </c>
      <c r="AN182" s="36">
        <f>IF(OR(AG182="",R182=0),"",MIN(IF(AS182="",9.9E+99,AS182),AK182/R182))</f>
        <v/>
      </c>
      <c r="AO182" s="38">
        <f>IF(AN182="","",AN182*T182)</f>
        <v/>
      </c>
      <c r="AP182" s="40" t="n"/>
      <c r="AQ182" s="41" t="n"/>
      <c r="AR182" s="41" t="n"/>
      <c r="AS182" s="42" t="n"/>
      <c r="AT182" s="43">
        <f>IF(((S182*pax_cap*load_thin*ROUND(K182*L182*revleg_thin,0))-(((battery/range_nm)*D182*ROUND(K182*L182*revleg_thin,0)*VLOOKUP(B182,country_opex,3,FALSE))+V182+W182+X182+Y182+Z182))&lt;=0,"",VLOOKUP(B182,country_opex,7,FALSE)/((S182*pax_cap*load_thin*ROUND(K182*L182*revleg_thin,0))-(((battery/range_nm)*D182*ROUND(K182*L182*revleg_thin,0)*VLOOKUP(B182,country_opex,3,FALSE))+V182+W182+X182+Y182+Z182)))</f>
        <v/>
      </c>
      <c r="AU182" s="43">
        <f>IF(((S182*pax_cap*load_mid*ROUND(K182*L182*revleg_mid,0))-(((battery/range_nm)*D182*ROUND(K182*L182*revleg_mid,0)*VLOOKUP(B182,country_opex,3,FALSE))+V182+W182+X182+Y182+Z182))&lt;=0,"",VLOOKUP(B182,country_opex,7,FALSE)/((S182*pax_cap*load_mid*ROUND(K182*L182*revleg_mid,0))-(((battery/range_nm)*D182*ROUND(K182*L182*revleg_mid,0)*VLOOKUP(B182,country_opex,3,FALSE))+V182+W182+X182+Y182+Z182)))</f>
        <v/>
      </c>
      <c r="AV182" s="43">
        <f>IF(((S182*pax_cap*load_full*ROUND(K182*L182*revleg_full,0))-(((battery/range_nm)*D182*ROUND(K182*L182*revleg_full,0)*VLOOKUP(B182,country_opex,3,FALSE))+V182+W182+X182+Y182+Z182))&lt;=0,"",VLOOKUP(B182,country_opex,7,FALSE)/((S182*pax_cap*load_full*ROUND(K182*L182*revleg_full,0))-(((battery/range_nm)*D182*ROUND(K182*L182*revleg_full,0)*VLOOKUP(B182,country_opex,3,FALSE))+V182+W182+X182+Y182+Z182)))</f>
        <v/>
      </c>
      <c r="AW182" s="44" t="inlineStr">
        <is>
          <t>Urban Dubai beach-club leisure hop (Bulgari Bay&lt;-&gt;La Mer/J1). Road-served. T5/low.</t>
        </is>
      </c>
      <c r="AX182" s="44" t="inlineStr">
        <is>
          <t>UAE-DEMAND-ANCHORS-2026-06-17.json — tier-based addressable pool derived from sourcing wave anchors (hotel keys × occ × shuttle adoption, marina activity, RTA marine baseline).</t>
        </is>
      </c>
    </row>
    <row r="183">
      <c r="A183" s="29" t="inlineStr">
        <is>
          <t>Bolt Uae</t>
        </is>
      </c>
      <c r="B183" s="29" t="inlineStr">
        <is>
          <t>United Arab Emirates</t>
        </is>
      </c>
      <c r="C183" s="30" t="inlineStr">
        <is>
          <t>Al Bateen Marina → Hudayriat Marina</t>
        </is>
      </c>
      <c r="D183" s="31" t="n">
        <v>3.6</v>
      </c>
      <c r="E183" s="26" t="n">
        <v>90</v>
      </c>
      <c r="F183" s="32" t="inlineStr">
        <is>
          <t>T4</t>
        </is>
      </c>
      <c r="G183" s="32" t="inlineStr">
        <is>
          <t>low</t>
        </is>
      </c>
      <c r="H183" s="19" t="n">
        <v>1</v>
      </c>
      <c r="I183" s="33">
        <f>60*D183/cruise_kt</f>
        <v/>
      </c>
      <c r="J183" s="33">
        <f>I183+turn_min+dwell_min</f>
        <v/>
      </c>
      <c r="K183" s="34">
        <f>MIN(10,FLOOR(60*service_hr/J183,1))</f>
        <v/>
      </c>
      <c r="L183" s="34">
        <f>ROUND(365*mech_uptime*H183,0)</f>
        <v/>
      </c>
      <c r="M183" s="35">
        <f>mech_uptime</f>
        <v/>
      </c>
      <c r="N183" s="35">
        <f>revleg_sel</f>
        <v/>
      </c>
      <c r="O183" s="34">
        <f>ROUND(K183*L183*revleg_sel,0)</f>
        <v/>
      </c>
      <c r="P183" s="36">
        <f>load_sel</f>
        <v/>
      </c>
      <c r="Q183" s="36">
        <f>pax_cap*P183</f>
        <v/>
      </c>
      <c r="R183" s="34">
        <f>Q183*O183</f>
        <v/>
      </c>
      <c r="S183" s="37">
        <f>E183*discount</f>
        <v/>
      </c>
      <c r="T183" s="38">
        <f>S183*R183</f>
        <v/>
      </c>
      <c r="U183" s="38">
        <f>(battery/range_nm)*D183*O183*VLOOKUP(B183,country_opex,3,FALSE)</f>
        <v/>
      </c>
      <c r="V183" s="38">
        <f>VLOOKUP(B183,country_opex,2,FALSE)*crew_factor</f>
        <v/>
      </c>
      <c r="W183" s="38">
        <f>VLOOKUP(B183,country_opex,5,FALSE)</f>
        <v/>
      </c>
      <c r="X183" s="38">
        <f>maint</f>
        <v/>
      </c>
      <c r="Y183" s="38">
        <f>VLOOKUP(B183,country_opex,7,FALSE)*ins_pct</f>
        <v/>
      </c>
      <c r="Z183" s="38">
        <f>charge_berth</f>
        <v/>
      </c>
      <c r="AA183" s="38">
        <f>U183+V183+W183+X183+Y183+Z183</f>
        <v/>
      </c>
      <c r="AB183" s="38">
        <f>VLOOKUP(B183,country_opex,7,FALSE)/dep_years</f>
        <v/>
      </c>
      <c r="AC183" s="38">
        <f>T183-AA183</f>
        <v/>
      </c>
      <c r="AD183" s="35">
        <f>IF(T183=0,"",AC183/T183)</f>
        <v/>
      </c>
      <c r="AE183" s="36">
        <f>IF(AC183&lt;=0,"",VLOOKUP(B183,country_opex,7,FALSE)/AC183)</f>
        <v/>
      </c>
      <c r="AF183" s="33">
        <f>((D183*O183/diesel_nmpg)*diesel_co2pg-(battery/range_nm)*D183*O183*VLOOKUP(B183,country_opex,4,FALSE))/1000</f>
        <v/>
      </c>
      <c r="AG183" s="31" t="n">
        <v>35000</v>
      </c>
      <c r="AH183" s="32" t="inlineStr">
        <is>
          <t>T3</t>
        </is>
      </c>
      <c r="AI183" s="32" t="inlineStr">
        <is>
          <t>low</t>
        </is>
      </c>
      <c r="AJ183" s="39" t="n">
        <v>0.1</v>
      </c>
      <c r="AK183" s="34">
        <f>IF(AG183="","",AG183*AJ183)</f>
        <v/>
      </c>
      <c r="AL183" s="34">
        <f>IF(OR(AG183="",R183=0),"",MIN(IF(AS183="",9.9E+99,AS183),FLOOR(AK183/R183,1)))</f>
        <v/>
      </c>
      <c r="AM183" s="38">
        <f>IF(AL183="","",AL183*T183)</f>
        <v/>
      </c>
      <c r="AN183" s="36">
        <f>IF(OR(AG183="",R183=0),"",MIN(IF(AS183="",9.9E+99,AS183),AK183/R183))</f>
        <v/>
      </c>
      <c r="AO183" s="38">
        <f>IF(AN183="","",AN183*T183)</f>
        <v/>
      </c>
      <c r="AP183" s="40" t="n"/>
      <c r="AQ183" s="41" t="n"/>
      <c r="AR183" s="41" t="n"/>
      <c r="AS183" s="42" t="n"/>
      <c r="AT183" s="43">
        <f>IF(((S183*pax_cap*load_thin*ROUND(K183*L183*revleg_thin,0))-(((battery/range_nm)*D183*ROUND(K183*L183*revleg_thin,0)*VLOOKUP(B183,country_opex,3,FALSE))+V183+W183+X183+Y183+Z183))&lt;=0,"",VLOOKUP(B183,country_opex,7,FALSE)/((S183*pax_cap*load_thin*ROUND(K183*L183*revleg_thin,0))-(((battery/range_nm)*D183*ROUND(K183*L183*revleg_thin,0)*VLOOKUP(B183,country_opex,3,FALSE))+V183+W183+X183+Y183+Z183)))</f>
        <v/>
      </c>
      <c r="AU183" s="43">
        <f>IF(((S183*pax_cap*load_mid*ROUND(K183*L183*revleg_mid,0))-(((battery/range_nm)*D183*ROUND(K183*L183*revleg_mid,0)*VLOOKUP(B183,country_opex,3,FALSE))+V183+W183+X183+Y183+Z183))&lt;=0,"",VLOOKUP(B183,country_opex,7,FALSE)/((S183*pax_cap*load_mid*ROUND(K183*L183*revleg_mid,0))-(((battery/range_nm)*D183*ROUND(K183*L183*revleg_mid,0)*VLOOKUP(B183,country_opex,3,FALSE))+V183+W183+X183+Y183+Z183)))</f>
        <v/>
      </c>
      <c r="AV183" s="43">
        <f>IF(((S183*pax_cap*load_full*ROUND(K183*L183*revleg_full,0))-(((battery/range_nm)*D183*ROUND(K183*L183*revleg_full,0)*VLOOKUP(B183,country_opex,3,FALSE))+V183+W183+X183+Y183+Z183))&lt;=0,"",VLOOKUP(B183,country_opex,7,FALSE)/((S183*pax_cap*load_full*ROUND(K183*L183*revleg_full,0))-(((battery/range_nm)*D183*ROUND(K183*L183*revleg_full,0)*VLOOKUP(B183,country_opex,3,FALSE))+V183+W183+X183+Y183+Z183)))</f>
        <v/>
      </c>
      <c r="AW183" s="44" t="inlineStr">
        <is>
          <t>RTA/Dubai-Ferry official ladder (R-RTA, T1): Water Taxi on-demand single AED 150/pax = $40.8; Dubai Ferry Gold AED 75 = $20.4, Silver AED 50 = $13.6; Water Bus AED 7; Abra AED 1. dubai-ferry.com / rta.ae 2025/26. Hudayriat Island leisure/beach destination, AD.</t>
        </is>
      </c>
      <c r="AX183" s="44" t="inlineStr">
        <is>
          <t>UAE-DEMAND-ANCHORS-2026-06-17.json — tier-based addressable pool derived from sourcing wave anchors (hotel keys × occ × shuttle adoption, marina activity, RTA marine baseline).</t>
        </is>
      </c>
    </row>
    <row r="184">
      <c r="A184" s="29" t="inlineStr">
        <is>
          <t>Bolt Uae</t>
        </is>
      </c>
      <c r="B184" s="29" t="inlineStr">
        <is>
          <t>United Arab Emirates</t>
        </is>
      </c>
      <c r="C184" s="30" t="inlineStr">
        <is>
          <t>Côte d'Azur Resort Marina (Heart of Europe) → Bulgari Yacht Club &amp; Marina</t>
        </is>
      </c>
      <c r="D184" s="31" t="n">
        <v>4.2</v>
      </c>
      <c r="E184" s="26" t="n">
        <v>150</v>
      </c>
      <c r="F184" s="32" t="inlineStr">
        <is>
          <t>T5</t>
        </is>
      </c>
      <c r="G184" s="32" t="inlineStr">
        <is>
          <t>low</t>
        </is>
      </c>
      <c r="H184" s="19" t="n">
        <v>1</v>
      </c>
      <c r="I184" s="33">
        <f>60*D184/cruise_kt</f>
        <v/>
      </c>
      <c r="J184" s="33">
        <f>I184+turn_min+dwell_min</f>
        <v/>
      </c>
      <c r="K184" s="34">
        <f>MIN(10,FLOOR(60*service_hr/J184,1))</f>
        <v/>
      </c>
      <c r="L184" s="34">
        <f>ROUND(365*mech_uptime*H184,0)</f>
        <v/>
      </c>
      <c r="M184" s="35">
        <f>mech_uptime</f>
        <v/>
      </c>
      <c r="N184" s="35">
        <f>revleg_sel</f>
        <v/>
      </c>
      <c r="O184" s="34">
        <f>ROUND(K184*L184*revleg_sel,0)</f>
        <v/>
      </c>
      <c r="P184" s="36">
        <f>load_sel</f>
        <v/>
      </c>
      <c r="Q184" s="36">
        <f>pax_cap*P184</f>
        <v/>
      </c>
      <c r="R184" s="34">
        <f>Q184*O184</f>
        <v/>
      </c>
      <c r="S184" s="37">
        <f>E184*discount</f>
        <v/>
      </c>
      <c r="T184" s="38">
        <f>S184*R184</f>
        <v/>
      </c>
      <c r="U184" s="38">
        <f>(battery/range_nm)*D184*O184*VLOOKUP(B184,country_opex,3,FALSE)</f>
        <v/>
      </c>
      <c r="V184" s="38">
        <f>VLOOKUP(B184,country_opex,2,FALSE)*crew_factor</f>
        <v/>
      </c>
      <c r="W184" s="38">
        <f>VLOOKUP(B184,country_opex,5,FALSE)</f>
        <v/>
      </c>
      <c r="X184" s="38">
        <f>maint</f>
        <v/>
      </c>
      <c r="Y184" s="38">
        <f>VLOOKUP(B184,country_opex,7,FALSE)*ins_pct</f>
        <v/>
      </c>
      <c r="Z184" s="38">
        <f>charge_berth</f>
        <v/>
      </c>
      <c r="AA184" s="38">
        <f>U184+V184+W184+X184+Y184+Z184</f>
        <v/>
      </c>
      <c r="AB184" s="38">
        <f>VLOOKUP(B184,country_opex,7,FALSE)/dep_years</f>
        <v/>
      </c>
      <c r="AC184" s="38">
        <f>T184-AA184</f>
        <v/>
      </c>
      <c r="AD184" s="35">
        <f>IF(T184=0,"",AC184/T184)</f>
        <v/>
      </c>
      <c r="AE184" s="36">
        <f>IF(AC184&lt;=0,"",VLOOKUP(B184,country_opex,7,FALSE)/AC184)</f>
        <v/>
      </c>
      <c r="AF184" s="33">
        <f>((D184*O184/diesel_nmpg)*diesel_co2pg-(battery/range_nm)*D184*O184*VLOOKUP(B184,country_opex,4,FALSE))/1000</f>
        <v/>
      </c>
      <c r="AG184" s="31" t="n">
        <v>20000</v>
      </c>
      <c r="AH184" s="32" t="inlineStr">
        <is>
          <t>T3</t>
        </is>
      </c>
      <c r="AI184" s="32" t="inlineStr">
        <is>
          <t>low</t>
        </is>
      </c>
      <c r="AJ184" s="39" t="n">
        <v>0.1</v>
      </c>
      <c r="AK184" s="34">
        <f>IF(AG184="","",AG184*AJ184)</f>
        <v/>
      </c>
      <c r="AL184" s="34">
        <f>IF(OR(AG184="",R184=0),"",MIN(IF(AS184="",9.9E+99,AS184),FLOOR(AK184/R184,1)))</f>
        <v/>
      </c>
      <c r="AM184" s="38">
        <f>IF(AL184="","",AL184*T184)</f>
        <v/>
      </c>
      <c r="AN184" s="36">
        <f>IF(OR(AG184="",R184=0),"",MIN(IF(AS184="",9.9E+99,AS184),AK184/R184))</f>
        <v/>
      </c>
      <c r="AO184" s="38">
        <f>IF(AN184="","",AN184*T184)</f>
        <v/>
      </c>
      <c r="AP184" s="40" t="n"/>
      <c r="AQ184" s="41" t="n"/>
      <c r="AR184" s="41" t="n"/>
      <c r="AS184" s="42" t="n"/>
      <c r="AT184" s="43">
        <f>IF(((S184*pax_cap*load_thin*ROUND(K184*L184*revleg_thin,0))-(((battery/range_nm)*D184*ROUND(K184*L184*revleg_thin,0)*VLOOKUP(B184,country_opex,3,FALSE))+V184+W184+X184+Y184+Z184))&lt;=0,"",VLOOKUP(B184,country_opex,7,FALSE)/((S184*pax_cap*load_thin*ROUND(K184*L184*revleg_thin,0))-(((battery/range_nm)*D184*ROUND(K184*L184*revleg_thin,0)*VLOOKUP(B184,country_opex,3,FALSE))+V184+W184+X184+Y184+Z184)))</f>
        <v/>
      </c>
      <c r="AU184" s="43">
        <f>IF(((S184*pax_cap*load_mid*ROUND(K184*L184*revleg_mid,0))-(((battery/range_nm)*D184*ROUND(K184*L184*revleg_mid,0)*VLOOKUP(B184,country_opex,3,FALSE))+V184+W184+X184+Y184+Z184))&lt;=0,"",VLOOKUP(B184,country_opex,7,FALSE)/((S184*pax_cap*load_mid*ROUND(K184*L184*revleg_mid,0))-(((battery/range_nm)*D184*ROUND(K184*L184*revleg_mid,0)*VLOOKUP(B184,country_opex,3,FALSE))+V184+W184+X184+Y184+Z184)))</f>
        <v/>
      </c>
      <c r="AV184" s="43">
        <f>IF(((S184*pax_cap*load_full*ROUND(K184*L184*revleg_full,0))-(((battery/range_nm)*D184*ROUND(K184*L184*revleg_full,0)*VLOOKUP(B184,country_opex,3,FALSE))+V184+W184+X184+Y184+Z184))&lt;=0,"",VLOOKUP(B184,country_opex,7,FALSE)/((S184*pax_cap*load_full*ROUND(K184*L184*revleg_full,0))-(((battery/range_nm)*D184*ROUND(K184*L184*revleg_full,0)*VLOOKUP(B184,country_opex,3,FALSE))+V184+W184+X184+Y184+Z184)))</f>
        <v/>
      </c>
      <c r="AW184" s="44" t="inlineStr">
        <is>
          <t>The World (boat-only)&lt;-&gt;Bulgari (Jumeirah Bay) luxury hop. Greenfield. T5/low.</t>
        </is>
      </c>
      <c r="AX184" s="44" t="inlineStr">
        <is>
          <t>UAE-DEMAND-ANCHORS-2026-06-17.json — tier-based addressable pool derived from sourcing wave anchors (hotel keys × occ × shuttle adoption, marina activity, RTA marine baseline).</t>
        </is>
      </c>
    </row>
    <row r="185">
      <c r="A185" s="29" t="inlineStr">
        <is>
          <t>Bolt Uae</t>
        </is>
      </c>
      <c r="B185" s="29" t="inlineStr">
        <is>
          <t>United Arab Emirates</t>
        </is>
      </c>
      <c r="C185" s="30" t="inlineStr">
        <is>
          <t>Saadiyat Beach Club Jetty → Zaya Nurai Island Jetty</t>
        </is>
      </c>
      <c r="D185" s="31" t="n">
        <v>4.4</v>
      </c>
      <c r="E185" s="26" t="n">
        <v>150</v>
      </c>
      <c r="F185" s="32" t="inlineStr">
        <is>
          <t>T3</t>
        </is>
      </c>
      <c r="G185" s="32" t="inlineStr">
        <is>
          <t>med</t>
        </is>
      </c>
      <c r="H185" s="19" t="n">
        <v>1</v>
      </c>
      <c r="I185" s="33">
        <f>60*D185/cruise_kt</f>
        <v/>
      </c>
      <c r="J185" s="33">
        <f>I185+turn_min+dwell_min</f>
        <v/>
      </c>
      <c r="K185" s="34">
        <f>MIN(10,FLOOR(60*service_hr/J185,1))</f>
        <v/>
      </c>
      <c r="L185" s="34">
        <f>ROUND(365*mech_uptime*H185,0)</f>
        <v/>
      </c>
      <c r="M185" s="35">
        <f>mech_uptime</f>
        <v/>
      </c>
      <c r="N185" s="35">
        <f>revleg_sel</f>
        <v/>
      </c>
      <c r="O185" s="34">
        <f>ROUND(K185*L185*revleg_sel,0)</f>
        <v/>
      </c>
      <c r="P185" s="36">
        <f>load_sel</f>
        <v/>
      </c>
      <c r="Q185" s="36">
        <f>pax_cap*P185</f>
        <v/>
      </c>
      <c r="R185" s="34">
        <f>Q185*O185</f>
        <v/>
      </c>
      <c r="S185" s="37">
        <f>E185*discount</f>
        <v/>
      </c>
      <c r="T185" s="38">
        <f>S185*R185</f>
        <v/>
      </c>
      <c r="U185" s="38">
        <f>(battery/range_nm)*D185*O185*VLOOKUP(B185,country_opex,3,FALSE)</f>
        <v/>
      </c>
      <c r="V185" s="38">
        <f>VLOOKUP(B185,country_opex,2,FALSE)*crew_factor</f>
        <v/>
      </c>
      <c r="W185" s="38">
        <f>VLOOKUP(B185,country_opex,5,FALSE)</f>
        <v/>
      </c>
      <c r="X185" s="38">
        <f>maint</f>
        <v/>
      </c>
      <c r="Y185" s="38">
        <f>VLOOKUP(B185,country_opex,7,FALSE)*ins_pct</f>
        <v/>
      </c>
      <c r="Z185" s="38">
        <f>charge_berth</f>
        <v/>
      </c>
      <c r="AA185" s="38">
        <f>U185+V185+W185+X185+Y185+Z185</f>
        <v/>
      </c>
      <c r="AB185" s="38">
        <f>VLOOKUP(B185,country_opex,7,FALSE)/dep_years</f>
        <v/>
      </c>
      <c r="AC185" s="38">
        <f>T185-AA185</f>
        <v/>
      </c>
      <c r="AD185" s="35">
        <f>IF(T185=0,"",AC185/T185)</f>
        <v/>
      </c>
      <c r="AE185" s="36">
        <f>IF(AC185&lt;=0,"",VLOOKUP(B185,country_opex,7,FALSE)/AC185)</f>
        <v/>
      </c>
      <c r="AF185" s="33">
        <f>((D185*O185/diesel_nmpg)*diesel_co2pg-(battery/range_nm)*D185*O185*VLOOKUP(B185,country_opex,4,FALSE))/1000</f>
        <v/>
      </c>
      <c r="AG185" s="31" t="n">
        <v>45000</v>
      </c>
      <c r="AH185" s="32" t="inlineStr">
        <is>
          <t>T5</t>
        </is>
      </c>
      <c r="AI185" s="32" t="inlineStr">
        <is>
          <t>low</t>
        </is>
      </c>
      <c r="AJ185" s="39" t="n">
        <v>0.1</v>
      </c>
      <c r="AK185" s="34">
        <f>IF(AG185="","",AG185*AJ185)</f>
        <v/>
      </c>
      <c r="AL185" s="34">
        <f>IF(OR(AG185="",R185=0),"",MIN(IF(AS185="",9.9E+99,AS185),FLOOR(AK185/R185,1)))</f>
        <v/>
      </c>
      <c r="AM185" s="38">
        <f>IF(AL185="","",AL185*T185)</f>
        <v/>
      </c>
      <c r="AN185" s="36">
        <f>IF(OR(AG185="",R185=0),"",MIN(IF(AS185="",9.9E+99,AS185),AK185/R185))</f>
        <v/>
      </c>
      <c r="AO185" s="38">
        <f>IF(AN185="","",AN185*T185)</f>
        <v/>
      </c>
      <c r="AP185" s="40" t="n"/>
      <c r="AQ185" s="41" t="n"/>
      <c r="AR185" s="41" t="n"/>
      <c r="AS185" s="42" t="n"/>
      <c r="AT185" s="43">
        <f>IF(((S185*pax_cap*load_thin*ROUND(K185*L185*revleg_thin,0))-(((battery/range_nm)*D185*ROUND(K185*L185*revleg_thin,0)*VLOOKUP(B185,country_opex,3,FALSE))+V185+W185+X185+Y185+Z185))&lt;=0,"",VLOOKUP(B185,country_opex,7,FALSE)/((S185*pax_cap*load_thin*ROUND(K185*L185*revleg_thin,0))-(((battery/range_nm)*D185*ROUND(K185*L185*revleg_thin,0)*VLOOKUP(B185,country_opex,3,FALSE))+V185+W185+X185+Y185+Z185)))</f>
        <v/>
      </c>
      <c r="AU185" s="43">
        <f>IF(((S185*pax_cap*load_mid*ROUND(K185*L185*revleg_mid,0))-(((battery/range_nm)*D185*ROUND(K185*L185*revleg_mid,0)*VLOOKUP(B185,country_opex,3,FALSE))+V185+W185+X185+Y185+Z185))&lt;=0,"",VLOOKUP(B185,country_opex,7,FALSE)/((S185*pax_cap*load_mid*ROUND(K185*L185*revleg_mid,0))-(((battery/range_nm)*D185*ROUND(K185*L185*revleg_mid,0)*VLOOKUP(B185,country_opex,3,FALSE))+V185+W185+X185+Y185+Z185)))</f>
        <v/>
      </c>
      <c r="AV185" s="43">
        <f>IF(((S185*pax_cap*load_full*ROUND(K185*L185*revleg_full,0))-(((battery/range_nm)*D185*ROUND(K185*L185*revleg_full,0)*VLOOKUP(B185,country_opex,3,FALSE))+V185+W185+X185+Y185+Z185))&lt;=0,"",VLOOKUP(B185,country_opex,7,FALSE)/((S185*pax_cap*load_full*ROUND(K185*L185*revleg_full,0))-(((battery/range_nm)*D185*ROUND(K185*L185*revleg_full,0)*VLOOKUP(B185,country_opex,3,FALSE))+V185+W185+X185+Y185+Z185)))</f>
        <v/>
      </c>
      <c r="AW185" s="44" t="inlineStr">
        <is>
          <t>Saadiyat Beach Club-&gt;Zaya Nurai Island (4.4nm). WATER-ONLY (12-15min boat from Saadiyat; boat-only, 32 villas + 23 residences). Day-pass + transfer redemption ladder; premium per-seat $150.</t>
        </is>
      </c>
      <c r="AX185" s="44" t="inlineStr">
        <is>
          <t>Boat-only -&gt; FULLY addressable (R3-EXCEPTION). 32 villas + 23 residences stay-pool + day-club guests (major Saadiyat day-trip).</t>
        </is>
      </c>
    </row>
    <row r="186">
      <c r="A186" s="29" t="inlineStr">
        <is>
          <t>Bolt Uae</t>
        </is>
      </c>
      <c r="B186" s="29" t="inlineStr">
        <is>
          <t>United Arab Emirates</t>
        </is>
      </c>
      <c r="C186" s="30" t="inlineStr">
        <is>
          <t>Dubai Harbour Marina → Atlantis The Royal Jetty</t>
        </is>
      </c>
      <c r="D186" s="31" t="n">
        <v>4.9</v>
      </c>
      <c r="E186" s="26" t="n">
        <v>175</v>
      </c>
      <c r="F186" s="32" t="inlineStr">
        <is>
          <t>T5</t>
        </is>
      </c>
      <c r="G186" s="32" t="inlineStr">
        <is>
          <t>low</t>
        </is>
      </c>
      <c r="H186" s="19" t="n">
        <v>1</v>
      </c>
      <c r="I186" s="33">
        <f>60*D186/cruise_kt</f>
        <v/>
      </c>
      <c r="J186" s="33">
        <f>I186+turn_min+dwell_min</f>
        <v/>
      </c>
      <c r="K186" s="34">
        <f>MIN(10,FLOOR(60*service_hr/J186,1))</f>
        <v/>
      </c>
      <c r="L186" s="34">
        <f>ROUND(365*mech_uptime*H186,0)</f>
        <v/>
      </c>
      <c r="M186" s="35">
        <f>mech_uptime</f>
        <v/>
      </c>
      <c r="N186" s="35">
        <f>revleg_sel</f>
        <v/>
      </c>
      <c r="O186" s="34">
        <f>ROUND(K186*L186*revleg_sel,0)</f>
        <v/>
      </c>
      <c r="P186" s="36">
        <f>load_sel</f>
        <v/>
      </c>
      <c r="Q186" s="36">
        <f>pax_cap*P186</f>
        <v/>
      </c>
      <c r="R186" s="34">
        <f>Q186*O186</f>
        <v/>
      </c>
      <c r="S186" s="37">
        <f>E186*discount</f>
        <v/>
      </c>
      <c r="T186" s="38">
        <f>S186*R186</f>
        <v/>
      </c>
      <c r="U186" s="38">
        <f>(battery/range_nm)*D186*O186*VLOOKUP(B186,country_opex,3,FALSE)</f>
        <v/>
      </c>
      <c r="V186" s="38">
        <f>VLOOKUP(B186,country_opex,2,FALSE)*crew_factor</f>
        <v/>
      </c>
      <c r="W186" s="38">
        <f>VLOOKUP(B186,country_opex,5,FALSE)</f>
        <v/>
      </c>
      <c r="X186" s="38">
        <f>maint</f>
        <v/>
      </c>
      <c r="Y186" s="38">
        <f>VLOOKUP(B186,country_opex,7,FALSE)*ins_pct</f>
        <v/>
      </c>
      <c r="Z186" s="38">
        <f>charge_berth</f>
        <v/>
      </c>
      <c r="AA186" s="38">
        <f>U186+V186+W186+X186+Y186+Z186</f>
        <v/>
      </c>
      <c r="AB186" s="38">
        <f>VLOOKUP(B186,country_opex,7,FALSE)/dep_years</f>
        <v/>
      </c>
      <c r="AC186" s="38">
        <f>T186-AA186</f>
        <v/>
      </c>
      <c r="AD186" s="35">
        <f>IF(T186=0,"",AC186/T186)</f>
        <v/>
      </c>
      <c r="AE186" s="36">
        <f>IF(AC186&lt;=0,"",VLOOKUP(B186,country_opex,7,FALSE)/AC186)</f>
        <v/>
      </c>
      <c r="AF186" s="33">
        <f>((D186*O186/diesel_nmpg)*diesel_co2pg-(battery/range_nm)*D186*O186*VLOOKUP(B186,country_opex,4,FALSE))/1000</f>
        <v/>
      </c>
      <c r="AG186" s="31" t="n">
        <v>10000</v>
      </c>
      <c r="AH186" s="32" t="inlineStr">
        <is>
          <t>T5</t>
        </is>
      </c>
      <c r="AI186" s="32" t="inlineStr">
        <is>
          <t>low</t>
        </is>
      </c>
      <c r="AJ186" s="39" t="n">
        <v>0.1</v>
      </c>
      <c r="AK186" s="34">
        <f>IF(AG186="","",AG186*AJ186)</f>
        <v/>
      </c>
      <c r="AL186" s="34">
        <f>IF(OR(AG186="",R186=0),"",MIN(IF(AS186="",9.9E+99,AS186),FLOOR(AK186/R186,1)))</f>
        <v/>
      </c>
      <c r="AM186" s="38">
        <f>IF(AL186="","",AL186*T186)</f>
        <v/>
      </c>
      <c r="AN186" s="36">
        <f>IF(OR(AG186="",R186=0),"",MIN(IF(AS186="",9.9E+99,AS186),AK186/R186))</f>
        <v/>
      </c>
      <c r="AO186" s="38">
        <f>IF(AN186="","",AN186*T186)</f>
        <v/>
      </c>
      <c r="AP186" s="40" t="n"/>
      <c r="AQ186" s="41" t="n"/>
      <c r="AR186" s="41" t="n"/>
      <c r="AS186" s="42" t="n"/>
      <c r="AT186" s="43">
        <f>IF(((S186*pax_cap*load_thin*ROUND(K186*L186*revleg_thin,0))-(((battery/range_nm)*D186*ROUND(K186*L186*revleg_thin,0)*VLOOKUP(B186,country_opex,3,FALSE))+V186+W186+X186+Y186+Z186))&lt;=0,"",VLOOKUP(B186,country_opex,7,FALSE)/((S186*pax_cap*load_thin*ROUND(K186*L186*revleg_thin,0))-(((battery/range_nm)*D186*ROUND(K186*L186*revleg_thin,0)*VLOOKUP(B186,country_opex,3,FALSE))+V186+W186+X186+Y186+Z186)))</f>
        <v/>
      </c>
      <c r="AU186" s="43">
        <f>IF(((S186*pax_cap*load_mid*ROUND(K186*L186*revleg_mid,0))-(((battery/range_nm)*D186*ROUND(K186*L186*revleg_mid,0)*VLOOKUP(B186,country_opex,3,FALSE))+V186+W186+X186+Y186+Z186))&lt;=0,"",VLOOKUP(B186,country_opex,7,FALSE)/((S186*pax_cap*load_mid*ROUND(K186*L186*revleg_mid,0))-(((battery/range_nm)*D186*ROUND(K186*L186*revleg_mid,0)*VLOOKUP(B186,country_opex,3,FALSE))+V186+W186+X186+Y186+Z186)))</f>
        <v/>
      </c>
      <c r="AV186" s="43">
        <f>IF(((S186*pax_cap*load_full*ROUND(K186*L186*revleg_full,0))-(((battery/range_nm)*D186*ROUND(K186*L186*revleg_full,0)*VLOOKUP(B186,country_opex,3,FALSE))+V186+W186+X186+Y186+Z186))&lt;=0,"",VLOOKUP(B186,country_opex,7,FALSE)/((S186*pax_cap*load_full*ROUND(K186*L186*revleg_full,0))-(((battery/range_nm)*D186*ROUND(K186*L186*revleg_full,0)*VLOOKUP(B186,country_opex,3,FALSE))+V186+W186+X186+Y186+Z186)))</f>
        <v/>
      </c>
      <c r="AW186" s="44" t="inlineStr">
        <is>
          <t>Atlantis The Royal (795 keys) road-served; signature marine arrival opportunity-to-create. T5/low.</t>
        </is>
      </c>
      <c r="AX186" s="44" t="inlineStr">
        <is>
          <t>OPT-IN luxury-arrival fraction only (R3-LAND road-served). 795 keys x occ -&gt; small opt-in marine pool.</t>
        </is>
      </c>
    </row>
    <row r="187">
      <c r="A187" s="29" t="inlineStr">
        <is>
          <t>Bolt Uae</t>
        </is>
      </c>
      <c r="B187" s="29" t="inlineStr">
        <is>
          <t>United Arab Emirates</t>
        </is>
      </c>
      <c r="C187" s="30" t="inlineStr">
        <is>
          <t>Jebel Dhanna / Ruwais Ferry Terminal → Sir Bani Yas Cruise Port</t>
        </is>
      </c>
      <c r="D187" s="31" t="n">
        <v>5.3</v>
      </c>
      <c r="E187" s="26" t="n">
        <v>90</v>
      </c>
      <c r="F187" s="32" t="inlineStr">
        <is>
          <t>T5</t>
        </is>
      </c>
      <c r="G187" s="32" t="inlineStr">
        <is>
          <t>low</t>
        </is>
      </c>
      <c r="H187" s="19" t="n">
        <v>1</v>
      </c>
      <c r="I187" s="33">
        <f>60*D187/cruise_kt</f>
        <v/>
      </c>
      <c r="J187" s="33">
        <f>I187+turn_min+dwell_min</f>
        <v/>
      </c>
      <c r="K187" s="34">
        <f>MIN(10,FLOOR(60*service_hr/J187,1))</f>
        <v/>
      </c>
      <c r="L187" s="34">
        <f>ROUND(365*mech_uptime*H187,0)</f>
        <v/>
      </c>
      <c r="M187" s="35">
        <f>mech_uptime</f>
        <v/>
      </c>
      <c r="N187" s="35">
        <f>revleg_sel</f>
        <v/>
      </c>
      <c r="O187" s="34">
        <f>ROUND(K187*L187*revleg_sel,0)</f>
        <v/>
      </c>
      <c r="P187" s="36">
        <f>load_sel</f>
        <v/>
      </c>
      <c r="Q187" s="36">
        <f>pax_cap*P187</f>
        <v/>
      </c>
      <c r="R187" s="34">
        <f>Q187*O187</f>
        <v/>
      </c>
      <c r="S187" s="37">
        <f>E187*discount</f>
        <v/>
      </c>
      <c r="T187" s="38">
        <f>S187*R187</f>
        <v/>
      </c>
      <c r="U187" s="38">
        <f>(battery/range_nm)*D187*O187*VLOOKUP(B187,country_opex,3,FALSE)</f>
        <v/>
      </c>
      <c r="V187" s="38">
        <f>VLOOKUP(B187,country_opex,2,FALSE)*crew_factor</f>
        <v/>
      </c>
      <c r="W187" s="38">
        <f>VLOOKUP(B187,country_opex,5,FALSE)</f>
        <v/>
      </c>
      <c r="X187" s="38">
        <f>maint</f>
        <v/>
      </c>
      <c r="Y187" s="38">
        <f>VLOOKUP(B187,country_opex,7,FALSE)*ins_pct</f>
        <v/>
      </c>
      <c r="Z187" s="38">
        <f>charge_berth</f>
        <v/>
      </c>
      <c r="AA187" s="38">
        <f>U187+V187+W187+X187+Y187+Z187</f>
        <v/>
      </c>
      <c r="AB187" s="38">
        <f>VLOOKUP(B187,country_opex,7,FALSE)/dep_years</f>
        <v/>
      </c>
      <c r="AC187" s="38">
        <f>T187-AA187</f>
        <v/>
      </c>
      <c r="AD187" s="35">
        <f>IF(T187=0,"",AC187/T187)</f>
        <v/>
      </c>
      <c r="AE187" s="36">
        <f>IF(AC187&lt;=0,"",VLOOKUP(B187,country_opex,7,FALSE)/AC187)</f>
        <v/>
      </c>
      <c r="AF187" s="33">
        <f>((D187*O187/diesel_nmpg)*diesel_co2pg-(battery/range_nm)*D187*O187*VLOOKUP(B187,country_opex,4,FALSE))/1000</f>
        <v/>
      </c>
      <c r="AG187" s="31" t="n">
        <v>60000</v>
      </c>
      <c r="AH187" s="32" t="inlineStr">
        <is>
          <t>T5</t>
        </is>
      </c>
      <c r="AI187" s="32" t="inlineStr">
        <is>
          <t>low</t>
        </is>
      </c>
      <c r="AJ187" s="39" t="n">
        <v>0.1</v>
      </c>
      <c r="AK187" s="34">
        <f>IF(AG187="","",AG187*AJ187)</f>
        <v/>
      </c>
      <c r="AL187" s="34">
        <f>IF(OR(AG187="",R187=0),"",MIN(IF(AS187="",9.9E+99,AS187),FLOOR(AK187/R187,1)))</f>
        <v/>
      </c>
      <c r="AM187" s="38">
        <f>IF(AL187="","",AL187*T187)</f>
        <v/>
      </c>
      <c r="AN187" s="36">
        <f>IF(OR(AG187="",R187=0),"",MIN(IF(AS187="",9.9E+99,AS187),AK187/R187))</f>
        <v/>
      </c>
      <c r="AO187" s="38">
        <f>IF(AN187="","",AN187*T187)</f>
        <v/>
      </c>
      <c r="AP187" s="40" t="n"/>
      <c r="AQ187" s="41" t="n"/>
      <c r="AR187" s="41" t="n"/>
      <c r="AS187" s="42" t="n"/>
      <c r="AT187" s="43">
        <f>IF(((S187*pax_cap*load_thin*ROUND(K187*L187*revleg_thin,0))-(((battery/range_nm)*D187*ROUND(K187*L187*revleg_thin,0)*VLOOKUP(B187,country_opex,3,FALSE))+V187+W187+X187+Y187+Z187))&lt;=0,"",VLOOKUP(B187,country_opex,7,FALSE)/((S187*pax_cap*load_thin*ROUND(K187*L187*revleg_thin,0))-(((battery/range_nm)*D187*ROUND(K187*L187*revleg_thin,0)*VLOOKUP(B187,country_opex,3,FALSE))+V187+W187+X187+Y187+Z187)))</f>
        <v/>
      </c>
      <c r="AU187" s="43">
        <f>IF(((S187*pax_cap*load_mid*ROUND(K187*L187*revleg_mid,0))-(((battery/range_nm)*D187*ROUND(K187*L187*revleg_mid,0)*VLOOKUP(B187,country_opex,3,FALSE))+V187+W187+X187+Y187+Z187))&lt;=0,"",VLOOKUP(B187,country_opex,7,FALSE)/((S187*pax_cap*load_mid*ROUND(K187*L187*revleg_mid,0))-(((battery/range_nm)*D187*ROUND(K187*L187*revleg_mid,0)*VLOOKUP(B187,country_opex,3,FALSE))+V187+W187+X187+Y187+Z187)))</f>
        <v/>
      </c>
      <c r="AV187" s="43">
        <f>IF(((S187*pax_cap*load_full*ROUND(K187*L187*revleg_full,0))-(((battery/range_nm)*D187*ROUND(K187*L187*revleg_full,0)*VLOOKUP(B187,country_opex,3,FALSE))+V187+W187+X187+Y187+Z187))&lt;=0,"",VLOOKUP(B187,country_opex,7,FALSE)/((S187*pax_cap*load_full*ROUND(K187*L187*revleg_full,0))-(((battery/range_nm)*D187*ROUND(K187*L187*revleg_full,0)*VLOOKUP(B187,country_opex,3,FALSE))+V187+W187+X187+Y187+Z187)))</f>
        <v/>
      </c>
      <c r="AW187" s="44" t="inlineStr">
        <is>
          <t>Sir Bani Yas boat-only (~8km offshore). 3 Anantara resorts ~124 keys. Guest boat transfer FREE today (R-UAE-1) -&gt; $90 opportunity-to-create / day-guest analog. T5/low.</t>
        </is>
      </c>
      <c r="AX187" s="44" t="inlineStr">
        <is>
          <t>Sir Bani Yas boat-only (R3-EXCEPTION). 3 Anantara resorts ~124 keys + Arabian Wildlife Park day-visitors via Jebel Dhanna ferry.</t>
        </is>
      </c>
    </row>
    <row r="188">
      <c r="A188" s="29" t="inlineStr">
        <is>
          <t>Bolt Uae</t>
        </is>
      </c>
      <c r="B188" s="29" t="inlineStr">
        <is>
          <t>United Arab Emirates</t>
        </is>
      </c>
      <c r="C188" s="30" t="inlineStr">
        <is>
          <t>Dubai Harbour Marina → Burj Al Arab Private Jetty</t>
        </is>
      </c>
      <c r="D188" s="31" t="n">
        <v>6.9</v>
      </c>
      <c r="E188" s="26" t="n">
        <v>250</v>
      </c>
      <c r="F188" s="32" t="inlineStr">
        <is>
          <t>T5</t>
        </is>
      </c>
      <c r="G188" s="32" t="inlineStr">
        <is>
          <t>low</t>
        </is>
      </c>
      <c r="H188" s="19" t="n">
        <v>1</v>
      </c>
      <c r="I188" s="33">
        <f>60*D188/cruise_kt</f>
        <v/>
      </c>
      <c r="J188" s="33">
        <f>I188+turn_min+dwell_min</f>
        <v/>
      </c>
      <c r="K188" s="34">
        <f>MIN(10,FLOOR(60*service_hr/J188,1))</f>
        <v/>
      </c>
      <c r="L188" s="34">
        <f>ROUND(365*mech_uptime*H188,0)</f>
        <v/>
      </c>
      <c r="M188" s="35">
        <f>mech_uptime</f>
        <v/>
      </c>
      <c r="N188" s="35">
        <f>revleg_sel</f>
        <v/>
      </c>
      <c r="O188" s="34">
        <f>ROUND(K188*L188*revleg_sel,0)</f>
        <v/>
      </c>
      <c r="P188" s="36">
        <f>load_sel</f>
        <v/>
      </c>
      <c r="Q188" s="36">
        <f>pax_cap*P188</f>
        <v/>
      </c>
      <c r="R188" s="34">
        <f>Q188*O188</f>
        <v/>
      </c>
      <c r="S188" s="37">
        <f>E188*discount</f>
        <v/>
      </c>
      <c r="T188" s="38">
        <f>S188*R188</f>
        <v/>
      </c>
      <c r="U188" s="38">
        <f>(battery/range_nm)*D188*O188*VLOOKUP(B188,country_opex,3,FALSE)</f>
        <v/>
      </c>
      <c r="V188" s="38">
        <f>VLOOKUP(B188,country_opex,2,FALSE)*crew_factor</f>
        <v/>
      </c>
      <c r="W188" s="38">
        <f>VLOOKUP(B188,country_opex,5,FALSE)</f>
        <v/>
      </c>
      <c r="X188" s="38">
        <f>maint</f>
        <v/>
      </c>
      <c r="Y188" s="38">
        <f>VLOOKUP(B188,country_opex,7,FALSE)*ins_pct</f>
        <v/>
      </c>
      <c r="Z188" s="38">
        <f>charge_berth</f>
        <v/>
      </c>
      <c r="AA188" s="38">
        <f>U188+V188+W188+X188+Y188+Z188</f>
        <v/>
      </c>
      <c r="AB188" s="38">
        <f>VLOOKUP(B188,country_opex,7,FALSE)/dep_years</f>
        <v/>
      </c>
      <c r="AC188" s="38">
        <f>T188-AA188</f>
        <v/>
      </c>
      <c r="AD188" s="35">
        <f>IF(T188=0,"",AC188/T188)</f>
        <v/>
      </c>
      <c r="AE188" s="36">
        <f>IF(AC188&lt;=0,"",VLOOKUP(B188,country_opex,7,FALSE)/AC188)</f>
        <v/>
      </c>
      <c r="AF188" s="33">
        <f>((D188*O188/diesel_nmpg)*diesel_co2pg-(battery/range_nm)*D188*O188*VLOOKUP(B188,country_opex,4,FALSE))/1000</f>
        <v/>
      </c>
      <c r="AG188" s="31" t="n">
        <v>5000</v>
      </c>
      <c r="AH188" s="32" t="inlineStr">
        <is>
          <t>T5</t>
        </is>
      </c>
      <c r="AI188" s="32" t="inlineStr">
        <is>
          <t>low</t>
        </is>
      </c>
      <c r="AJ188" s="39" t="n">
        <v>0.1</v>
      </c>
      <c r="AK188" s="34">
        <f>IF(AG188="","",AG188*AJ188)</f>
        <v/>
      </c>
      <c r="AL188" s="34">
        <f>IF(OR(AG188="",R188=0),"",MIN(IF(AS188="",9.9E+99,AS188),FLOOR(AK188/R188,1)))</f>
        <v/>
      </c>
      <c r="AM188" s="38">
        <f>IF(AL188="","",AL188*T188)</f>
        <v/>
      </c>
      <c r="AN188" s="36">
        <f>IF(OR(AG188="",R188=0),"",MIN(IF(AS188="",9.9E+99,AS188),AK188/R188))</f>
        <v/>
      </c>
      <c r="AO188" s="38">
        <f>IF(AN188="","",AN188*T188)</f>
        <v/>
      </c>
      <c r="AP188" s="40" t="n"/>
      <c r="AQ188" s="41" t="n"/>
      <c r="AR188" s="41" t="n"/>
      <c r="AS188" s="42" t="n"/>
      <c r="AT188" s="43">
        <f>IF(((S188*pax_cap*load_thin*ROUND(K188*L188*revleg_thin,0))-(((battery/range_nm)*D188*ROUND(K188*L188*revleg_thin,0)*VLOOKUP(B188,country_opex,3,FALSE))+V188+W188+X188+Y188+Z188))&lt;=0,"",VLOOKUP(B188,country_opex,7,FALSE)/((S188*pax_cap*load_thin*ROUND(K188*L188*revleg_thin,0))-(((battery/range_nm)*D188*ROUND(K188*L188*revleg_thin,0)*VLOOKUP(B188,country_opex,3,FALSE))+V188+W188+X188+Y188+Z188)))</f>
        <v/>
      </c>
      <c r="AU188" s="43">
        <f>IF(((S188*pax_cap*load_mid*ROUND(K188*L188*revleg_mid,0))-(((battery/range_nm)*D188*ROUND(K188*L188*revleg_mid,0)*VLOOKUP(B188,country_opex,3,FALSE))+V188+W188+X188+Y188+Z188))&lt;=0,"",VLOOKUP(B188,country_opex,7,FALSE)/((S188*pax_cap*load_mid*ROUND(K188*L188*revleg_mid,0))-(((battery/range_nm)*D188*ROUND(K188*L188*revleg_mid,0)*VLOOKUP(B188,country_opex,3,FALSE))+V188+W188+X188+Y188+Z188)))</f>
        <v/>
      </c>
      <c r="AV188" s="43">
        <f>IF(((S188*pax_cap*load_full*ROUND(K188*L188*revleg_full,0))-(((battery/range_nm)*D188*ROUND(K188*L188*revleg_full,0)*VLOOKUP(B188,country_opex,3,FALSE))+V188+W188+X188+Y188+Z188))&lt;=0,"",VLOOKUP(B188,country_opex,7,FALSE)/((S188*pax_cap*load_full*ROUND(K188*L188*revleg_full,0))-(((battery/range_nm)*D188*ROUND(K188*L188*revleg_full,0)*VLOOKUP(B188,country_opex,3,FALSE))+V188+W188+X188+Y188+Z188)))</f>
        <v/>
      </c>
      <c r="AW188" s="44" t="inlineStr">
        <is>
          <t>Burj Al Arab (202 suites) road-served; iconic signature marine arrival. T5/low.</t>
        </is>
      </c>
      <c r="AX188" s="44" t="inlineStr">
        <is>
          <t>OPT-IN only (R3-LAND). 202 suites x occ -&gt; modest base + experiential day-guest yacht-arrivals.</t>
        </is>
      </c>
    </row>
    <row r="189">
      <c r="A189" s="29" t="inlineStr">
        <is>
          <t>Bolt Uae</t>
        </is>
      </c>
      <c r="B189" s="29" t="inlineStr">
        <is>
          <t>United Arab Emirates</t>
        </is>
      </c>
      <c r="C189" s="30" t="inlineStr">
        <is>
          <t>Marina Mall / Breakwater Marina → Reem Island Marina (Najmat / Marina Square)</t>
        </is>
      </c>
      <c r="D189" s="31" t="n">
        <v>7.1</v>
      </c>
      <c r="E189" s="26" t="n">
        <v>60</v>
      </c>
      <c r="F189" s="32" t="inlineStr">
        <is>
          <t>T4</t>
        </is>
      </c>
      <c r="G189" s="32" t="inlineStr">
        <is>
          <t>low</t>
        </is>
      </c>
      <c r="H189" s="19" t="n">
        <v>1</v>
      </c>
      <c r="I189" s="33">
        <f>60*D189/cruise_kt</f>
        <v/>
      </c>
      <c r="J189" s="33">
        <f>I189+turn_min+dwell_min</f>
        <v/>
      </c>
      <c r="K189" s="34">
        <f>MIN(10,FLOOR(60*service_hr/J189,1))</f>
        <v/>
      </c>
      <c r="L189" s="34">
        <f>ROUND(365*mech_uptime*H189,0)</f>
        <v/>
      </c>
      <c r="M189" s="35">
        <f>mech_uptime</f>
        <v/>
      </c>
      <c r="N189" s="35">
        <f>revleg_sel</f>
        <v/>
      </c>
      <c r="O189" s="34">
        <f>ROUND(K189*L189*revleg_sel,0)</f>
        <v/>
      </c>
      <c r="P189" s="36">
        <f>load_sel</f>
        <v/>
      </c>
      <c r="Q189" s="36">
        <f>pax_cap*P189</f>
        <v/>
      </c>
      <c r="R189" s="34">
        <f>Q189*O189</f>
        <v/>
      </c>
      <c r="S189" s="37">
        <f>E189*discount</f>
        <v/>
      </c>
      <c r="T189" s="38">
        <f>S189*R189</f>
        <v/>
      </c>
      <c r="U189" s="38">
        <f>(battery/range_nm)*D189*O189*VLOOKUP(B189,country_opex,3,FALSE)</f>
        <v/>
      </c>
      <c r="V189" s="38">
        <f>VLOOKUP(B189,country_opex,2,FALSE)*crew_factor</f>
        <v/>
      </c>
      <c r="W189" s="38">
        <f>VLOOKUP(B189,country_opex,5,FALSE)</f>
        <v/>
      </c>
      <c r="X189" s="38">
        <f>maint</f>
        <v/>
      </c>
      <c r="Y189" s="38">
        <f>VLOOKUP(B189,country_opex,7,FALSE)*ins_pct</f>
        <v/>
      </c>
      <c r="Z189" s="38">
        <f>charge_berth</f>
        <v/>
      </c>
      <c r="AA189" s="38">
        <f>U189+V189+W189+X189+Y189+Z189</f>
        <v/>
      </c>
      <c r="AB189" s="38">
        <f>VLOOKUP(B189,country_opex,7,FALSE)/dep_years</f>
        <v/>
      </c>
      <c r="AC189" s="38">
        <f>T189-AA189</f>
        <v/>
      </c>
      <c r="AD189" s="35">
        <f>IF(T189=0,"",AC189/T189)</f>
        <v/>
      </c>
      <c r="AE189" s="36">
        <f>IF(AC189&lt;=0,"",VLOOKUP(B189,country_opex,7,FALSE)/AC189)</f>
        <v/>
      </c>
      <c r="AF189" s="33">
        <f>((D189*O189/diesel_nmpg)*diesel_co2pg-(battery/range_nm)*D189*O189*VLOOKUP(B189,country_opex,4,FALSE))/1000</f>
        <v/>
      </c>
      <c r="AG189" s="31" t="n">
        <v>35000</v>
      </c>
      <c r="AH189" s="32" t="inlineStr">
        <is>
          <t>T3</t>
        </is>
      </c>
      <c r="AI189" s="32" t="inlineStr">
        <is>
          <t>low</t>
        </is>
      </c>
      <c r="AJ189" s="39" t="n">
        <v>0.1</v>
      </c>
      <c r="AK189" s="34">
        <f>IF(AG189="","",AG189*AJ189)</f>
        <v/>
      </c>
      <c r="AL189" s="34">
        <f>IF(OR(AG189="",R189=0),"",MIN(IF(AS189="",9.9E+99,AS189),FLOOR(AK189/R189,1)))</f>
        <v/>
      </c>
      <c r="AM189" s="38">
        <f>IF(AL189="","",AL189*T189)</f>
        <v/>
      </c>
      <c r="AN189" s="36">
        <f>IF(OR(AG189="",R189=0),"",MIN(IF(AS189="",9.9E+99,AS189),AK189/R189))</f>
        <v/>
      </c>
      <c r="AO189" s="38">
        <f>IF(AN189="","",AN189*T189)</f>
        <v/>
      </c>
      <c r="AP189" s="40" t="n"/>
      <c r="AQ189" s="41" t="n"/>
      <c r="AR189" s="41" t="n"/>
      <c r="AS189" s="42" t="n"/>
      <c r="AT189" s="43">
        <f>IF(((S189*pax_cap*load_thin*ROUND(K189*L189*revleg_thin,0))-(((battery/range_nm)*D189*ROUND(K189*L189*revleg_thin,0)*VLOOKUP(B189,country_opex,3,FALSE))+V189+W189+X189+Y189+Z189))&lt;=0,"",VLOOKUP(B189,country_opex,7,FALSE)/((S189*pax_cap*load_thin*ROUND(K189*L189*revleg_thin,0))-(((battery/range_nm)*D189*ROUND(K189*L189*revleg_thin,0)*VLOOKUP(B189,country_opex,3,FALSE))+V189+W189+X189+Y189+Z189)))</f>
        <v/>
      </c>
      <c r="AU189" s="43">
        <f>IF(((S189*pax_cap*load_mid*ROUND(K189*L189*revleg_mid,0))-(((battery/range_nm)*D189*ROUND(K189*L189*revleg_mid,0)*VLOOKUP(B189,country_opex,3,FALSE))+V189+W189+X189+Y189+Z189))&lt;=0,"",VLOOKUP(B189,country_opex,7,FALSE)/((S189*pax_cap*load_mid*ROUND(K189*L189*revleg_mid,0))-(((battery/range_nm)*D189*ROUND(K189*L189*revleg_mid,0)*VLOOKUP(B189,country_opex,3,FALSE))+V189+W189+X189+Y189+Z189)))</f>
        <v/>
      </c>
      <c r="AV189" s="43">
        <f>IF(((S189*pax_cap*load_full*ROUND(K189*L189*revleg_full,0))-(((battery/range_nm)*D189*ROUND(K189*L189*revleg_full,0)*VLOOKUP(B189,country_opex,3,FALSE))+V189+W189+X189+Y189+Z189))&lt;=0,"",VLOOKUP(B189,country_opex,7,FALSE)/((S189*pax_cap*load_full*ROUND(K189*L189*revleg_full,0))-(((battery/range_nm)*D189*ROUND(K189*L189*revleg_full,0)*VLOOKUP(B189,country_opex,3,FALSE))+V189+W189+X189+Y189+Z189)))</f>
        <v/>
      </c>
      <c r="AW189" s="44" t="inlineStr">
        <is>
          <t>RTA/Dubai-Ferry official ladder (R-RTA, T1): Water Taxi on-demand single AED 150/pax = $40.8; Dubai Ferry Gold AED 75 = $20.4, Silver AED 50 = $13.6; Water Bus AED 7; Abra AED 1. dubai-ferry.com / rta.ae 2025/26. Reem Island (Najmat/Marina Square).</t>
        </is>
      </c>
      <c r="AX189" s="44" t="inlineStr">
        <is>
          <t>UAE-DEMAND-ANCHORS-2026-06-17.json — tier-based addressable pool derived from sourcing wave anchors (hotel keys × occ × shuttle adoption, marina activity, RTA marine baseline).</t>
        </is>
      </c>
    </row>
    <row r="190">
      <c r="A190" s="29" t="inlineStr">
        <is>
          <t>Bolt Uae</t>
        </is>
      </c>
      <c r="B190" s="29" t="inlineStr">
        <is>
          <t>United Arab Emirates</t>
        </is>
      </c>
      <c r="C190" s="30" t="inlineStr">
        <is>
          <t>Dubai Harbour Marina → Anantara World Islands Resort Jetty (planned)</t>
        </is>
      </c>
      <c r="D190" s="31" t="n">
        <v>7.9</v>
      </c>
      <c r="E190" s="26" t="n">
        <v>80</v>
      </c>
      <c r="F190" s="32" t="inlineStr">
        <is>
          <t>T4</t>
        </is>
      </c>
      <c r="G190" s="32" t="inlineStr">
        <is>
          <t>low</t>
        </is>
      </c>
      <c r="H190" s="19" t="n">
        <v>1</v>
      </c>
      <c r="I190" s="33">
        <f>60*D190/cruise_kt</f>
        <v/>
      </c>
      <c r="J190" s="33">
        <f>I190+turn_min+dwell_min</f>
        <v/>
      </c>
      <c r="K190" s="34">
        <f>MIN(10,FLOOR(60*service_hr/J190,1))</f>
        <v/>
      </c>
      <c r="L190" s="34">
        <f>ROUND(365*mech_uptime*H190,0)</f>
        <v/>
      </c>
      <c r="M190" s="35">
        <f>mech_uptime</f>
        <v/>
      </c>
      <c r="N190" s="35">
        <f>revleg_sel</f>
        <v/>
      </c>
      <c r="O190" s="34">
        <f>ROUND(K190*L190*revleg_sel,0)</f>
        <v/>
      </c>
      <c r="P190" s="36">
        <f>load_sel</f>
        <v/>
      </c>
      <c r="Q190" s="36">
        <f>pax_cap*P190</f>
        <v/>
      </c>
      <c r="R190" s="34">
        <f>Q190*O190</f>
        <v/>
      </c>
      <c r="S190" s="37">
        <f>E190*discount</f>
        <v/>
      </c>
      <c r="T190" s="38">
        <f>S190*R190</f>
        <v/>
      </c>
      <c r="U190" s="38">
        <f>(battery/range_nm)*D190*O190*VLOOKUP(B190,country_opex,3,FALSE)</f>
        <v/>
      </c>
      <c r="V190" s="38">
        <f>VLOOKUP(B190,country_opex,2,FALSE)*crew_factor</f>
        <v/>
      </c>
      <c r="W190" s="38">
        <f>VLOOKUP(B190,country_opex,5,FALSE)</f>
        <v/>
      </c>
      <c r="X190" s="38">
        <f>maint</f>
        <v/>
      </c>
      <c r="Y190" s="38">
        <f>VLOOKUP(B190,country_opex,7,FALSE)*ins_pct</f>
        <v/>
      </c>
      <c r="Z190" s="38">
        <f>charge_berth</f>
        <v/>
      </c>
      <c r="AA190" s="38">
        <f>U190+V190+W190+X190+Y190+Z190</f>
        <v/>
      </c>
      <c r="AB190" s="38">
        <f>VLOOKUP(B190,country_opex,7,FALSE)/dep_years</f>
        <v/>
      </c>
      <c r="AC190" s="38">
        <f>T190-AA190</f>
        <v/>
      </c>
      <c r="AD190" s="35">
        <f>IF(T190=0,"",AC190/T190)</f>
        <v/>
      </c>
      <c r="AE190" s="36">
        <f>IF(AC190&lt;=0,"",VLOOKUP(B190,country_opex,7,FALSE)/AC190)</f>
        <v/>
      </c>
      <c r="AF190" s="33">
        <f>((D190*O190/diesel_nmpg)*diesel_co2pg-(battery/range_nm)*D190*O190*VLOOKUP(B190,country_opex,4,FALSE))/1000</f>
        <v/>
      </c>
      <c r="AG190" s="31" t="n">
        <v>30000</v>
      </c>
      <c r="AH190" s="32" t="inlineStr">
        <is>
          <t>T5</t>
        </is>
      </c>
      <c r="AI190" s="32" t="inlineStr">
        <is>
          <t>low</t>
        </is>
      </c>
      <c r="AJ190" s="39" t="n">
        <v>0.1</v>
      </c>
      <c r="AK190" s="34">
        <f>IF(AG190="","",AG190*AJ190)</f>
        <v/>
      </c>
      <c r="AL190" s="34">
        <f>IF(OR(AG190="",R190=0),"",MIN(IF(AS190="",9.9E+99,AS190),FLOOR(AK190/R190,1)))</f>
        <v/>
      </c>
      <c r="AM190" s="38">
        <f>IF(AL190="","",AL190*T190)</f>
        <v/>
      </c>
      <c r="AN190" s="36">
        <f>IF(OR(AG190="",R190=0),"",MIN(IF(AS190="",9.9E+99,AS190),AK190/R190))</f>
        <v/>
      </c>
      <c r="AO190" s="38">
        <f>IF(AN190="","",AN190*T190)</f>
        <v/>
      </c>
      <c r="AP190" s="40" t="n"/>
      <c r="AQ190" s="41" t="n"/>
      <c r="AR190" s="41" t="n"/>
      <c r="AS190" s="42" t="n"/>
      <c r="AT190" s="43">
        <f>IF(((S190*pax_cap*load_thin*ROUND(K190*L190*revleg_thin,0))-(((battery/range_nm)*D190*ROUND(K190*L190*revleg_thin,0)*VLOOKUP(B190,country_opex,3,FALSE))+V190+W190+X190+Y190+Z190))&lt;=0,"",VLOOKUP(B190,country_opex,7,FALSE)/((S190*pax_cap*load_thin*ROUND(K190*L190*revleg_thin,0))-(((battery/range_nm)*D190*ROUND(K190*L190*revleg_thin,0)*VLOOKUP(B190,country_opex,3,FALSE))+V190+W190+X190+Y190+Z190)))</f>
        <v/>
      </c>
      <c r="AU190" s="43">
        <f>IF(((S190*pax_cap*load_mid*ROUND(K190*L190*revleg_mid,0))-(((battery/range_nm)*D190*ROUND(K190*L190*revleg_mid,0)*VLOOKUP(B190,country_opex,3,FALSE))+V190+W190+X190+Y190+Z190))&lt;=0,"",VLOOKUP(B190,country_opex,7,FALSE)/((S190*pax_cap*load_mid*ROUND(K190*L190*revleg_mid,0))-(((battery/range_nm)*D190*ROUND(K190*L190*revleg_mid,0)*VLOOKUP(B190,country_opex,3,FALSE))+V190+W190+X190+Y190+Z190)))</f>
        <v/>
      </c>
      <c r="AV190" s="43">
        <f>IF(((S190*pax_cap*load_full*ROUND(K190*L190*revleg_full,0))-(((battery/range_nm)*D190*ROUND(K190*L190*revleg_full,0)*VLOOKUP(B190,country_opex,3,FALSE))+V190+W190+X190+Y190+Z190))&lt;=0,"",VLOOKUP(B190,country_opex,7,FALSE)/((S190*pax_cap*load_full*ROUND(K190*L190*revleg_full,0))-(((battery/range_nm)*D190*ROUND(K190*L190*revleg_full,0)*VLOOKUP(B190,country_opex,3,FALSE))+V190+W190+X190+Y190+Z190)))</f>
        <v/>
      </c>
      <c r="AW190" s="44" t="inlineStr">
        <is>
          <t>Anantara World Islands Resort (boat-only; Forbes/Expedia 'accessible only by boat'). Resort shuttle ~AED 150/pax RETURN (~$20/way); premium per-seat modeled $80.</t>
        </is>
      </c>
      <c r="AX190" s="44" t="inlineStr">
        <is>
          <t>Boot-only -&gt; arrivals=crossing ridership FULLY addressable (R3-EXCEPTION). ~70 keys x ~65% occ + day-guests.</t>
        </is>
      </c>
    </row>
    <row r="191">
      <c r="A191" s="29" t="inlineStr">
        <is>
          <t>Bolt Uae</t>
        </is>
      </c>
      <c r="B191" s="29" t="inlineStr">
        <is>
          <t>United Arab Emirates</t>
        </is>
      </c>
      <c r="C191" s="30" t="inlineStr">
        <is>
          <t>Saadiyat Beach Club Jetty → Marina Mall / Breakwater Marina</t>
        </is>
      </c>
      <c r="D191" s="31" t="n">
        <v>8.9</v>
      </c>
      <c r="E191" s="26" t="n">
        <v>70</v>
      </c>
      <c r="F191" s="32" t="inlineStr">
        <is>
          <t>T4</t>
        </is>
      </c>
      <c r="G191" s="32" t="inlineStr">
        <is>
          <t>low</t>
        </is>
      </c>
      <c r="H191" s="19" t="n">
        <v>1</v>
      </c>
      <c r="I191" s="33">
        <f>60*D191/cruise_kt</f>
        <v/>
      </c>
      <c r="J191" s="33">
        <f>I191+turn_min+dwell_min</f>
        <v/>
      </c>
      <c r="K191" s="34">
        <f>MIN(10,FLOOR(60*service_hr/J191,1))</f>
        <v/>
      </c>
      <c r="L191" s="34">
        <f>ROUND(365*mech_uptime*H191,0)</f>
        <v/>
      </c>
      <c r="M191" s="35">
        <f>mech_uptime</f>
        <v/>
      </c>
      <c r="N191" s="35">
        <f>revleg_sel</f>
        <v/>
      </c>
      <c r="O191" s="34">
        <f>ROUND(K191*L191*revleg_sel,0)</f>
        <v/>
      </c>
      <c r="P191" s="36">
        <f>load_sel</f>
        <v/>
      </c>
      <c r="Q191" s="36">
        <f>pax_cap*P191</f>
        <v/>
      </c>
      <c r="R191" s="34">
        <f>Q191*O191</f>
        <v/>
      </c>
      <c r="S191" s="37">
        <f>E191*discount</f>
        <v/>
      </c>
      <c r="T191" s="38">
        <f>S191*R191</f>
        <v/>
      </c>
      <c r="U191" s="38">
        <f>(battery/range_nm)*D191*O191*VLOOKUP(B191,country_opex,3,FALSE)</f>
        <v/>
      </c>
      <c r="V191" s="38">
        <f>VLOOKUP(B191,country_opex,2,FALSE)*crew_factor</f>
        <v/>
      </c>
      <c r="W191" s="38">
        <f>VLOOKUP(B191,country_opex,5,FALSE)</f>
        <v/>
      </c>
      <c r="X191" s="38">
        <f>maint</f>
        <v/>
      </c>
      <c r="Y191" s="38">
        <f>VLOOKUP(B191,country_opex,7,FALSE)*ins_pct</f>
        <v/>
      </c>
      <c r="Z191" s="38">
        <f>charge_berth</f>
        <v/>
      </c>
      <c r="AA191" s="38">
        <f>U191+V191+W191+X191+Y191+Z191</f>
        <v/>
      </c>
      <c r="AB191" s="38">
        <f>VLOOKUP(B191,country_opex,7,FALSE)/dep_years</f>
        <v/>
      </c>
      <c r="AC191" s="38">
        <f>T191-AA191</f>
        <v/>
      </c>
      <c r="AD191" s="35">
        <f>IF(T191=0,"",AC191/T191)</f>
        <v/>
      </c>
      <c r="AE191" s="36">
        <f>IF(AC191&lt;=0,"",VLOOKUP(B191,country_opex,7,FALSE)/AC191)</f>
        <v/>
      </c>
      <c r="AF191" s="33">
        <f>((D191*O191/diesel_nmpg)*diesel_co2pg-(battery/range_nm)*D191*O191*VLOOKUP(B191,country_opex,4,FALSE))/1000</f>
        <v/>
      </c>
      <c r="AG191" s="31" t="n">
        <v>25000</v>
      </c>
      <c r="AH191" s="32" t="inlineStr">
        <is>
          <t>T3</t>
        </is>
      </c>
      <c r="AI191" s="32" t="inlineStr">
        <is>
          <t>low</t>
        </is>
      </c>
      <c r="AJ191" s="39" t="n">
        <v>0.1</v>
      </c>
      <c r="AK191" s="34">
        <f>IF(AG191="","",AG191*AJ191)</f>
        <v/>
      </c>
      <c r="AL191" s="34">
        <f>IF(OR(AG191="",R191=0),"",MIN(IF(AS191="",9.9E+99,AS191),FLOOR(AK191/R191,1)))</f>
        <v/>
      </c>
      <c r="AM191" s="38">
        <f>IF(AL191="","",AL191*T191)</f>
        <v/>
      </c>
      <c r="AN191" s="36">
        <f>IF(OR(AG191="",R191=0),"",MIN(IF(AS191="",9.9E+99,AS191),AK191/R191))</f>
        <v/>
      </c>
      <c r="AO191" s="38">
        <f>IF(AN191="","",AN191*T191)</f>
        <v/>
      </c>
      <c r="AP191" s="40" t="n"/>
      <c r="AQ191" s="41" t="n"/>
      <c r="AR191" s="41" t="n"/>
      <c r="AS191" s="42" t="n"/>
      <c r="AT191" s="43">
        <f>IF(((S191*pax_cap*load_thin*ROUND(K191*L191*revleg_thin,0))-(((battery/range_nm)*D191*ROUND(K191*L191*revleg_thin,0)*VLOOKUP(B191,country_opex,3,FALSE))+V191+W191+X191+Y191+Z191))&lt;=0,"",VLOOKUP(B191,country_opex,7,FALSE)/((S191*pax_cap*load_thin*ROUND(K191*L191*revleg_thin,0))-(((battery/range_nm)*D191*ROUND(K191*L191*revleg_thin,0)*VLOOKUP(B191,country_opex,3,FALSE))+V191+W191+X191+Y191+Z191)))</f>
        <v/>
      </c>
      <c r="AU191" s="43">
        <f>IF(((S191*pax_cap*load_mid*ROUND(K191*L191*revleg_mid,0))-(((battery/range_nm)*D191*ROUND(K191*L191*revleg_mid,0)*VLOOKUP(B191,country_opex,3,FALSE))+V191+W191+X191+Y191+Z191))&lt;=0,"",VLOOKUP(B191,country_opex,7,FALSE)/((S191*pax_cap*load_mid*ROUND(K191*L191*revleg_mid,0))-(((battery/range_nm)*D191*ROUND(K191*L191*revleg_mid,0)*VLOOKUP(B191,country_opex,3,FALSE))+V191+W191+X191+Y191+Z191)))</f>
        <v/>
      </c>
      <c r="AV191" s="43">
        <f>IF(((S191*pax_cap*load_full*ROUND(K191*L191*revleg_full,0))-(((battery/range_nm)*D191*ROUND(K191*L191*revleg_full,0)*VLOOKUP(B191,country_opex,3,FALSE))+V191+W191+X191+Y191+Z191))&lt;=0,"",VLOOKUP(B191,country_opex,7,FALSE)/((S191*pax_cap*load_full*ROUND(K191*L191*revleg_full,0))-(((battery/range_nm)*D191*ROUND(K191*L191*revleg_full,0)*VLOOKUP(B191,country_opex,3,FALSE))+V191+W191+X191+Y191+Z191)))</f>
        <v/>
      </c>
      <c r="AW191" s="44" t="inlineStr">
        <is>
          <t>RTA/Dubai-Ferry official ladder (R-RTA, T1): Water Taxi on-demand single AED 150/pax = $40.8; Dubai Ferry Gold AED 75 = $20.4, Silver AED 50 = $13.6; Water Bus AED 7; Abra AED 1. dubai-ferry.com / rta.ae 2025/26. AD Corniche&lt;-&gt;Saadiyat marine hop.</t>
        </is>
      </c>
      <c r="AX191" s="44" t="inlineStr">
        <is>
          <t>UAE-DEMAND-ANCHORS-2026-06-17.json — tier-based addressable pool derived from sourcing wave anchors (hotel keys × occ × shuttle adoption, marina activity, RTA marine baseline).</t>
        </is>
      </c>
    </row>
    <row r="192">
      <c r="A192" s="29" t="inlineStr">
        <is>
          <t>Bolt Uae</t>
        </is>
      </c>
      <c r="B192" s="29" t="inlineStr">
        <is>
          <t>United Arab Emirates</t>
        </is>
      </c>
      <c r="C192" s="30" t="inlineStr">
        <is>
          <t>Dubai Harbour Marina → Côte d'Azur Resort Marina (Heart of Europe)</t>
        </is>
      </c>
      <c r="D192" s="31" t="n">
        <v>9.199999999999999</v>
      </c>
      <c r="E192" s="26" t="n">
        <v>175</v>
      </c>
      <c r="F192" s="32" t="inlineStr">
        <is>
          <t>T5</t>
        </is>
      </c>
      <c r="G192" s="32" t="inlineStr">
        <is>
          <t>low</t>
        </is>
      </c>
      <c r="H192" s="19" t="n">
        <v>1</v>
      </c>
      <c r="I192" s="33">
        <f>60*D192/cruise_kt</f>
        <v/>
      </c>
      <c r="J192" s="33">
        <f>I192+turn_min+dwell_min</f>
        <v/>
      </c>
      <c r="K192" s="34">
        <f>MIN(10,FLOOR(60*service_hr/J192,1))</f>
        <v/>
      </c>
      <c r="L192" s="34">
        <f>ROUND(365*mech_uptime*H192,0)</f>
        <v/>
      </c>
      <c r="M192" s="35">
        <f>mech_uptime</f>
        <v/>
      </c>
      <c r="N192" s="35">
        <f>revleg_sel</f>
        <v/>
      </c>
      <c r="O192" s="34">
        <f>ROUND(K192*L192*revleg_sel,0)</f>
        <v/>
      </c>
      <c r="P192" s="36">
        <f>load_sel</f>
        <v/>
      </c>
      <c r="Q192" s="36">
        <f>pax_cap*P192</f>
        <v/>
      </c>
      <c r="R192" s="34">
        <f>Q192*O192</f>
        <v/>
      </c>
      <c r="S192" s="37">
        <f>E192*discount</f>
        <v/>
      </c>
      <c r="T192" s="38">
        <f>S192*R192</f>
        <v/>
      </c>
      <c r="U192" s="38">
        <f>(battery/range_nm)*D192*O192*VLOOKUP(B192,country_opex,3,FALSE)</f>
        <v/>
      </c>
      <c r="V192" s="38">
        <f>VLOOKUP(B192,country_opex,2,FALSE)*crew_factor</f>
        <v/>
      </c>
      <c r="W192" s="38">
        <f>VLOOKUP(B192,country_opex,5,FALSE)</f>
        <v/>
      </c>
      <c r="X192" s="38">
        <f>maint</f>
        <v/>
      </c>
      <c r="Y192" s="38">
        <f>VLOOKUP(B192,country_opex,7,FALSE)*ins_pct</f>
        <v/>
      </c>
      <c r="Z192" s="38">
        <f>charge_berth</f>
        <v/>
      </c>
      <c r="AA192" s="38">
        <f>U192+V192+W192+X192+Y192+Z192</f>
        <v/>
      </c>
      <c r="AB192" s="38">
        <f>VLOOKUP(B192,country_opex,7,FALSE)/dep_years</f>
        <v/>
      </c>
      <c r="AC192" s="38">
        <f>T192-AA192</f>
        <v/>
      </c>
      <c r="AD192" s="35">
        <f>IF(T192=0,"",AC192/T192)</f>
        <v/>
      </c>
      <c r="AE192" s="36">
        <f>IF(AC192&lt;=0,"",VLOOKUP(B192,country_opex,7,FALSE)/AC192)</f>
        <v/>
      </c>
      <c r="AF192" s="33">
        <f>((D192*O192/diesel_nmpg)*diesel_co2pg-(battery/range_nm)*D192*O192*VLOOKUP(B192,country_opex,4,FALSE))/1000</f>
        <v/>
      </c>
      <c r="AG192" s="31" t="n">
        <v>70000</v>
      </c>
      <c r="AH192" s="32" t="inlineStr">
        <is>
          <t>T2</t>
        </is>
      </c>
      <c r="AI192" s="32" t="inlineStr">
        <is>
          <t>medium</t>
        </is>
      </c>
      <c r="AJ192" s="39" t="n">
        <v>0.1</v>
      </c>
      <c r="AK192" s="34">
        <f>IF(AG192="","",AG192*AJ192)</f>
        <v/>
      </c>
      <c r="AL192" s="34">
        <f>IF(OR(AG192="",R192=0),"",MIN(IF(AS192="",9.9E+99,AS192),FLOOR(AK192/R192,1)))</f>
        <v/>
      </c>
      <c r="AM192" s="38">
        <f>IF(AL192="","",AL192*T192)</f>
        <v/>
      </c>
      <c r="AN192" s="36">
        <f>IF(OR(AG192="",R192=0),"",MIN(IF(AS192="",9.9E+99,AS192),AK192/R192))</f>
        <v/>
      </c>
      <c r="AO192" s="38">
        <f>IF(AN192="","",AN192*T192)</f>
        <v/>
      </c>
      <c r="AP192" s="40" t="n"/>
      <c r="AQ192" s="41" t="n"/>
      <c r="AR192" s="41" t="n"/>
      <c r="AS192" s="42" t="n"/>
      <c r="AT192" s="43">
        <f>IF(((S192*pax_cap*load_thin*ROUND(K192*L192*revleg_thin,0))-(((battery/range_nm)*D192*ROUND(K192*L192*revleg_thin,0)*VLOOKUP(B192,country_opex,3,FALSE))+V192+W192+X192+Y192+Z192))&lt;=0,"",VLOOKUP(B192,country_opex,7,FALSE)/((S192*pax_cap*load_thin*ROUND(K192*L192*revleg_thin,0))-(((battery/range_nm)*D192*ROUND(K192*L192*revleg_thin,0)*VLOOKUP(B192,country_opex,3,FALSE))+V192+W192+X192+Y192+Z192)))</f>
        <v/>
      </c>
      <c r="AU192" s="43">
        <f>IF(((S192*pax_cap*load_mid*ROUND(K192*L192*revleg_mid,0))-(((battery/range_nm)*D192*ROUND(K192*L192*revleg_mid,0)*VLOOKUP(B192,country_opex,3,FALSE))+V192+W192+X192+Y192+Z192))&lt;=0,"",VLOOKUP(B192,country_opex,7,FALSE)/((S192*pax_cap*load_mid*ROUND(K192*L192*revleg_mid,0))-(((battery/range_nm)*D192*ROUND(K192*L192*revleg_mid,0)*VLOOKUP(B192,country_opex,3,FALSE))+V192+W192+X192+Y192+Z192)))</f>
        <v/>
      </c>
      <c r="AV192" s="43">
        <f>IF(((S192*pax_cap*load_full*ROUND(K192*L192*revleg_full,0))-(((battery/range_nm)*D192*ROUND(K192*L192*revleg_full,0)*VLOOKUP(B192,country_opex,3,FALSE))+V192+W192+X192+Y192+Z192))&lt;=0,"",VLOOKUP(B192,country_opex,7,FALSE)/((S192*pax_cap*load_full*ROUND(K192*L192*revleg_full,0))-(((battery/range_nm)*D192*ROUND(K192*L192*revleg_full,0)*VLOOKUP(B192,country_opex,3,FALSE))+V192+W192+X192+Y192+Z192)))</f>
        <v/>
      </c>
      <c r="AW192" s="44" t="inlineStr">
        <is>
          <t>The World (Heart of Europe/Cote d'Azur) boat-only offshore. Shared per-seat $56-120/pax; resort transfers bundled. T5/low - opportunity-to-create.</t>
        </is>
      </c>
      <c r="AX192" s="44" t="inlineStr">
        <is>
          <t>UAE-DEMAND-ANCHORS-2026-06-17.json — sourcing wave: RTA Marine 18M riders 2024; DET 43M room-nights; DCT AD 4.8M hotel visitors; RAKTDA 4.35M guest-nights; Miral Yas 38M visits; Marjan/Skift Wynn projections; SCTDA Sharjah 1.6M.</t>
        </is>
      </c>
    </row>
    <row r="193">
      <c r="A193" s="29" t="inlineStr">
        <is>
          <t>Bolt Uae</t>
        </is>
      </c>
      <c r="B193" s="29" t="inlineStr">
        <is>
          <t>United Arab Emirates</t>
        </is>
      </c>
      <c r="C193" s="30" t="inlineStr">
        <is>
          <t>Bluewaters Marina → Heart of Europe — Main Marina (The World)</t>
        </is>
      </c>
      <c r="D193" s="31" t="n">
        <v>9.880000000000001</v>
      </c>
      <c r="E193" s="26" t="n">
        <v>175</v>
      </c>
      <c r="F193" s="32" t="inlineStr">
        <is>
          <t>T5</t>
        </is>
      </c>
      <c r="G193" s="32" t="inlineStr">
        <is>
          <t>low</t>
        </is>
      </c>
      <c r="H193" s="19" t="n">
        <v>1</v>
      </c>
      <c r="I193" s="33">
        <f>60*D193/cruise_kt</f>
        <v/>
      </c>
      <c r="J193" s="33">
        <f>I193+turn_min+dwell_min</f>
        <v/>
      </c>
      <c r="K193" s="34">
        <f>MIN(10,FLOOR(60*service_hr/J193,1))</f>
        <v/>
      </c>
      <c r="L193" s="34">
        <f>ROUND(365*mech_uptime*H193,0)</f>
        <v/>
      </c>
      <c r="M193" s="35">
        <f>mech_uptime</f>
        <v/>
      </c>
      <c r="N193" s="35">
        <f>revleg_sel</f>
        <v/>
      </c>
      <c r="O193" s="34">
        <f>ROUND(K193*L193*revleg_sel,0)</f>
        <v/>
      </c>
      <c r="P193" s="36">
        <f>load_sel</f>
        <v/>
      </c>
      <c r="Q193" s="36">
        <f>pax_cap*P193</f>
        <v/>
      </c>
      <c r="R193" s="34">
        <f>Q193*O193</f>
        <v/>
      </c>
      <c r="S193" s="37">
        <f>E193*discount</f>
        <v/>
      </c>
      <c r="T193" s="38">
        <f>S193*R193</f>
        <v/>
      </c>
      <c r="U193" s="38">
        <f>(battery/range_nm)*D193*O193*VLOOKUP(B193,country_opex,3,FALSE)</f>
        <v/>
      </c>
      <c r="V193" s="38">
        <f>VLOOKUP(B193,country_opex,2,FALSE)*crew_factor</f>
        <v/>
      </c>
      <c r="W193" s="38">
        <f>VLOOKUP(B193,country_opex,5,FALSE)</f>
        <v/>
      </c>
      <c r="X193" s="38">
        <f>maint</f>
        <v/>
      </c>
      <c r="Y193" s="38">
        <f>VLOOKUP(B193,country_opex,7,FALSE)*ins_pct</f>
        <v/>
      </c>
      <c r="Z193" s="38">
        <f>charge_berth</f>
        <v/>
      </c>
      <c r="AA193" s="38">
        <f>U193+V193+W193+X193+Y193+Z193</f>
        <v/>
      </c>
      <c r="AB193" s="38">
        <f>VLOOKUP(B193,country_opex,7,FALSE)/dep_years</f>
        <v/>
      </c>
      <c r="AC193" s="38">
        <f>T193-AA193</f>
        <v/>
      </c>
      <c r="AD193" s="35">
        <f>IF(T193=0,"",AC193/T193)</f>
        <v/>
      </c>
      <c r="AE193" s="36">
        <f>IF(AC193&lt;=0,"",VLOOKUP(B193,country_opex,7,FALSE)/AC193)</f>
        <v/>
      </c>
      <c r="AF193" s="33">
        <f>((D193*O193/diesel_nmpg)*diesel_co2pg-(battery/range_nm)*D193*O193*VLOOKUP(B193,country_opex,4,FALSE))/1000</f>
        <v/>
      </c>
      <c r="AG193" s="31" t="n">
        <v>20000</v>
      </c>
      <c r="AH193" s="32" t="inlineStr">
        <is>
          <t>T3</t>
        </is>
      </c>
      <c r="AI193" s="32" t="inlineStr">
        <is>
          <t>low</t>
        </is>
      </c>
      <c r="AJ193" s="39" t="n">
        <v>0.1</v>
      </c>
      <c r="AK193" s="34">
        <f>IF(AG193="","",AG193*AJ193)</f>
        <v/>
      </c>
      <c r="AL193" s="34">
        <f>IF(OR(AG193="",R193=0),"",MIN(IF(AS193="",9.9E+99,AS193),FLOOR(AK193/R193,1)))</f>
        <v/>
      </c>
      <c r="AM193" s="38">
        <f>IF(AL193="","",AL193*T193)</f>
        <v/>
      </c>
      <c r="AN193" s="36">
        <f>IF(OR(AG193="",R193=0),"",MIN(IF(AS193="",9.9E+99,AS193),AK193/R193))</f>
        <v/>
      </c>
      <c r="AO193" s="38">
        <f>IF(AN193="","",AN193*T193)</f>
        <v/>
      </c>
      <c r="AP193" s="40" t="n"/>
      <c r="AQ193" s="41" t="n"/>
      <c r="AR193" s="41" t="n"/>
      <c r="AS193" s="42" t="n"/>
      <c r="AT193" s="43">
        <f>IF(((S193*pax_cap*load_thin*ROUND(K193*L193*revleg_thin,0))-(((battery/range_nm)*D193*ROUND(K193*L193*revleg_thin,0)*VLOOKUP(B193,country_opex,3,FALSE))+V193+W193+X193+Y193+Z193))&lt;=0,"",VLOOKUP(B193,country_opex,7,FALSE)/((S193*pax_cap*load_thin*ROUND(K193*L193*revleg_thin,0))-(((battery/range_nm)*D193*ROUND(K193*L193*revleg_thin,0)*VLOOKUP(B193,country_opex,3,FALSE))+V193+W193+X193+Y193+Z193)))</f>
        <v/>
      </c>
      <c r="AU193" s="43">
        <f>IF(((S193*pax_cap*load_mid*ROUND(K193*L193*revleg_mid,0))-(((battery/range_nm)*D193*ROUND(K193*L193*revleg_mid,0)*VLOOKUP(B193,country_opex,3,FALSE))+V193+W193+X193+Y193+Z193))&lt;=0,"",VLOOKUP(B193,country_opex,7,FALSE)/((S193*pax_cap*load_mid*ROUND(K193*L193*revleg_mid,0))-(((battery/range_nm)*D193*ROUND(K193*L193*revleg_mid,0)*VLOOKUP(B193,country_opex,3,FALSE))+V193+W193+X193+Y193+Z193)))</f>
        <v/>
      </c>
      <c r="AV193" s="43">
        <f>IF(((S193*pax_cap*load_full*ROUND(K193*L193*revleg_full,0))-(((battery/range_nm)*D193*ROUND(K193*L193*revleg_full,0)*VLOOKUP(B193,country_opex,3,FALSE))+V193+W193+X193+Y193+Z193))&lt;=0,"",VLOOKUP(B193,country_opex,7,FALSE)/((S193*pax_cap*load_full*ROUND(K193*L193*revleg_full,0))-(((battery/range_nm)*D193*ROUND(K193*L193*revleg_full,0)*VLOOKUP(B193,country_opex,3,FALSE))+V193+W193+X193+Y193+Z193)))</f>
        <v/>
      </c>
      <c r="AW193" s="44" t="inlineStr">
        <is>
          <t>The World (Heart of Europe) boat-only offshore; greenfield. T5/low.</t>
        </is>
      </c>
      <c r="AX193" s="44" t="inlineStr">
        <is>
          <t>UAE-DEMAND-ANCHORS-2026-06-17.json — tier-based addressable pool derived from sourcing wave anchors (hotel keys × occ × shuttle adoption, marina activity, RTA marine baseline).</t>
        </is>
      </c>
    </row>
    <row r="194">
      <c r="A194" s="29" t="inlineStr">
        <is>
          <t>Bolt Uae</t>
        </is>
      </c>
      <c r="B194" s="29" t="inlineStr">
        <is>
          <t>United Arab Emirates</t>
        </is>
      </c>
      <c r="C194" s="30" t="inlineStr">
        <is>
          <t>Dubai Harbour Marina → Bulgari Yacht Club &amp; Marina</t>
        </is>
      </c>
      <c r="D194" s="31" t="n">
        <v>10.2</v>
      </c>
      <c r="E194" s="26" t="n">
        <v>200</v>
      </c>
      <c r="F194" s="32" t="inlineStr">
        <is>
          <t>T5</t>
        </is>
      </c>
      <c r="G194" s="32" t="inlineStr">
        <is>
          <t>low</t>
        </is>
      </c>
      <c r="H194" s="19" t="n">
        <v>1</v>
      </c>
      <c r="I194" s="33">
        <f>60*D194/cruise_kt</f>
        <v/>
      </c>
      <c r="J194" s="33">
        <f>I194+turn_min+dwell_min</f>
        <v/>
      </c>
      <c r="K194" s="34">
        <f>MIN(10,FLOOR(60*service_hr/J194,1))</f>
        <v/>
      </c>
      <c r="L194" s="34">
        <f>ROUND(365*mech_uptime*H194,0)</f>
        <v/>
      </c>
      <c r="M194" s="35">
        <f>mech_uptime</f>
        <v/>
      </c>
      <c r="N194" s="35">
        <f>revleg_sel</f>
        <v/>
      </c>
      <c r="O194" s="34">
        <f>ROUND(K194*L194*revleg_sel,0)</f>
        <v/>
      </c>
      <c r="P194" s="36">
        <f>load_sel</f>
        <v/>
      </c>
      <c r="Q194" s="36">
        <f>pax_cap*P194</f>
        <v/>
      </c>
      <c r="R194" s="34">
        <f>Q194*O194</f>
        <v/>
      </c>
      <c r="S194" s="37">
        <f>E194*discount</f>
        <v/>
      </c>
      <c r="T194" s="38">
        <f>S194*R194</f>
        <v/>
      </c>
      <c r="U194" s="38">
        <f>(battery/range_nm)*D194*O194*VLOOKUP(B194,country_opex,3,FALSE)</f>
        <v/>
      </c>
      <c r="V194" s="38">
        <f>VLOOKUP(B194,country_opex,2,FALSE)*crew_factor</f>
        <v/>
      </c>
      <c r="W194" s="38">
        <f>VLOOKUP(B194,country_opex,5,FALSE)</f>
        <v/>
      </c>
      <c r="X194" s="38">
        <f>maint</f>
        <v/>
      </c>
      <c r="Y194" s="38">
        <f>VLOOKUP(B194,country_opex,7,FALSE)*ins_pct</f>
        <v/>
      </c>
      <c r="Z194" s="38">
        <f>charge_berth</f>
        <v/>
      </c>
      <c r="AA194" s="38">
        <f>U194+V194+W194+X194+Y194+Z194</f>
        <v/>
      </c>
      <c r="AB194" s="38">
        <f>VLOOKUP(B194,country_opex,7,FALSE)/dep_years</f>
        <v/>
      </c>
      <c r="AC194" s="38">
        <f>T194-AA194</f>
        <v/>
      </c>
      <c r="AD194" s="35">
        <f>IF(T194=0,"",AC194/T194)</f>
        <v/>
      </c>
      <c r="AE194" s="36">
        <f>IF(AC194&lt;=0,"",VLOOKUP(B194,country_opex,7,FALSE)/AC194)</f>
        <v/>
      </c>
      <c r="AF194" s="33">
        <f>((D194*O194/diesel_nmpg)*diesel_co2pg-(battery/range_nm)*D194*O194*VLOOKUP(B194,country_opex,4,FALSE))/1000</f>
        <v/>
      </c>
      <c r="AG194" s="31" t="n">
        <v>4000</v>
      </c>
      <c r="AH194" s="32" t="inlineStr">
        <is>
          <t>T5</t>
        </is>
      </c>
      <c r="AI194" s="32" t="inlineStr">
        <is>
          <t>low</t>
        </is>
      </c>
      <c r="AJ194" s="39" t="n">
        <v>0.1</v>
      </c>
      <c r="AK194" s="34">
        <f>IF(AG194="","",AG194*AJ194)</f>
        <v/>
      </c>
      <c r="AL194" s="34">
        <f>IF(OR(AG194="",R194=0),"",MIN(IF(AS194="",9.9E+99,AS194),FLOOR(AK194/R194,1)))</f>
        <v/>
      </c>
      <c r="AM194" s="38">
        <f>IF(AL194="","",AL194*T194)</f>
        <v/>
      </c>
      <c r="AN194" s="36">
        <f>IF(OR(AG194="",R194=0),"",MIN(IF(AS194="",9.9E+99,AS194),AK194/R194))</f>
        <v/>
      </c>
      <c r="AO194" s="38">
        <f>IF(AN194="","",AN194*T194)</f>
        <v/>
      </c>
      <c r="AP194" s="40" t="n"/>
      <c r="AQ194" s="41" t="n"/>
      <c r="AR194" s="41" t="n"/>
      <c r="AS194" s="42" t="n"/>
      <c r="AT194" s="43">
        <f>IF(((S194*pax_cap*load_thin*ROUND(K194*L194*revleg_thin,0))-(((battery/range_nm)*D194*ROUND(K194*L194*revleg_thin,0)*VLOOKUP(B194,country_opex,3,FALSE))+V194+W194+X194+Y194+Z194))&lt;=0,"",VLOOKUP(B194,country_opex,7,FALSE)/((S194*pax_cap*load_thin*ROUND(K194*L194*revleg_thin,0))-(((battery/range_nm)*D194*ROUND(K194*L194*revleg_thin,0)*VLOOKUP(B194,country_opex,3,FALSE))+V194+W194+X194+Y194+Z194)))</f>
        <v/>
      </c>
      <c r="AU194" s="43">
        <f>IF(((S194*pax_cap*load_mid*ROUND(K194*L194*revleg_mid,0))-(((battery/range_nm)*D194*ROUND(K194*L194*revleg_mid,0)*VLOOKUP(B194,country_opex,3,FALSE))+V194+W194+X194+Y194+Z194))&lt;=0,"",VLOOKUP(B194,country_opex,7,FALSE)/((S194*pax_cap*load_mid*ROUND(K194*L194*revleg_mid,0))-(((battery/range_nm)*D194*ROUND(K194*L194*revleg_mid,0)*VLOOKUP(B194,country_opex,3,FALSE))+V194+W194+X194+Y194+Z194)))</f>
        <v/>
      </c>
      <c r="AV194" s="43">
        <f>IF(((S194*pax_cap*load_full*ROUND(K194*L194*revleg_full,0))-(((battery/range_nm)*D194*ROUND(K194*L194*revleg_full,0)*VLOOKUP(B194,country_opex,3,FALSE))+V194+W194+X194+Y194+Z194))&lt;=0,"",VLOOKUP(B194,country_opex,7,FALSE)/((S194*pax_cap*load_full*ROUND(K194*L194*revleg_full,0))-(((battery/range_nm)*D194*ROUND(K194*L194*revleg_full,0)*VLOOKUP(B194,country_opex,3,FALSE))+V194+W194+X194+Y194+Z194)))</f>
        <v/>
      </c>
      <c r="AW194" s="44" t="inlineStr">
        <is>
          <t>Bulgari Resort Dubai ~129 keys + Bulgari Yacht Club &amp; Marina; road-served. T5/low.</t>
        </is>
      </c>
      <c r="AX194" s="44" t="inlineStr">
        <is>
          <t>OPT-IN only (R3-LAND). ~129-key resort + yacht-club members.</t>
        </is>
      </c>
    </row>
    <row r="195">
      <c r="A195" s="29" t="inlineStr">
        <is>
          <t>Bolt Uae</t>
        </is>
      </c>
      <c r="B195" s="29" t="inlineStr">
        <is>
          <t>United Arab Emirates</t>
        </is>
      </c>
      <c r="C195" s="30" t="inlineStr">
        <is>
          <t>Emirates Palace Marina → Saadiyat Beach Club Jetty</t>
        </is>
      </c>
      <c r="D195" s="31" t="n">
        <v>10.4</v>
      </c>
      <c r="E195" s="26" t="n">
        <v>175</v>
      </c>
      <c r="F195" s="32" t="inlineStr">
        <is>
          <t>T5</t>
        </is>
      </c>
      <c r="G195" s="32" t="inlineStr">
        <is>
          <t>low</t>
        </is>
      </c>
      <c r="H195" s="19" t="n">
        <v>1</v>
      </c>
      <c r="I195" s="33">
        <f>60*D195/cruise_kt</f>
        <v/>
      </c>
      <c r="J195" s="33">
        <f>I195+turn_min+dwell_min</f>
        <v/>
      </c>
      <c r="K195" s="34">
        <f>MIN(10,FLOOR(60*service_hr/J195,1))</f>
        <v/>
      </c>
      <c r="L195" s="34">
        <f>ROUND(365*mech_uptime*H195,0)</f>
        <v/>
      </c>
      <c r="M195" s="35">
        <f>mech_uptime</f>
        <v/>
      </c>
      <c r="N195" s="35">
        <f>revleg_sel</f>
        <v/>
      </c>
      <c r="O195" s="34">
        <f>ROUND(K195*L195*revleg_sel,0)</f>
        <v/>
      </c>
      <c r="P195" s="36">
        <f>load_sel</f>
        <v/>
      </c>
      <c r="Q195" s="36">
        <f>pax_cap*P195</f>
        <v/>
      </c>
      <c r="R195" s="34">
        <f>Q195*O195</f>
        <v/>
      </c>
      <c r="S195" s="37">
        <f>E195*discount</f>
        <v/>
      </c>
      <c r="T195" s="38">
        <f>S195*R195</f>
        <v/>
      </c>
      <c r="U195" s="38">
        <f>(battery/range_nm)*D195*O195*VLOOKUP(B195,country_opex,3,FALSE)</f>
        <v/>
      </c>
      <c r="V195" s="38">
        <f>VLOOKUP(B195,country_opex,2,FALSE)*crew_factor</f>
        <v/>
      </c>
      <c r="W195" s="38">
        <f>VLOOKUP(B195,country_opex,5,FALSE)</f>
        <v/>
      </c>
      <c r="X195" s="38">
        <f>maint</f>
        <v/>
      </c>
      <c r="Y195" s="38">
        <f>VLOOKUP(B195,country_opex,7,FALSE)*ins_pct</f>
        <v/>
      </c>
      <c r="Z195" s="38">
        <f>charge_berth</f>
        <v/>
      </c>
      <c r="AA195" s="38">
        <f>U195+V195+W195+X195+Y195+Z195</f>
        <v/>
      </c>
      <c r="AB195" s="38">
        <f>VLOOKUP(B195,country_opex,7,FALSE)/dep_years</f>
        <v/>
      </c>
      <c r="AC195" s="38">
        <f>T195-AA195</f>
        <v/>
      </c>
      <c r="AD195" s="35">
        <f>IF(T195=0,"",AC195/T195)</f>
        <v/>
      </c>
      <c r="AE195" s="36">
        <f>IF(AC195&lt;=0,"",VLOOKUP(B195,country_opex,7,FALSE)/AC195)</f>
        <v/>
      </c>
      <c r="AF195" s="33">
        <f>((D195*O195/diesel_nmpg)*diesel_co2pg-(battery/range_nm)*D195*O195*VLOOKUP(B195,country_opex,4,FALSE))/1000</f>
        <v/>
      </c>
      <c r="AG195" s="31" t="n">
        <v>3000</v>
      </c>
      <c r="AH195" s="32" t="inlineStr">
        <is>
          <t>T5</t>
        </is>
      </c>
      <c r="AI195" s="32" t="inlineStr">
        <is>
          <t>low</t>
        </is>
      </c>
      <c r="AJ195" s="39" t="n">
        <v>0.1</v>
      </c>
      <c r="AK195" s="34">
        <f>IF(AG195="","",AG195*AJ195)</f>
        <v/>
      </c>
      <c r="AL195" s="34">
        <f>IF(OR(AG195="",R195=0),"",MIN(IF(AS195="",9.9E+99,AS195),FLOOR(AK195/R195,1)))</f>
        <v/>
      </c>
      <c r="AM195" s="38">
        <f>IF(AL195="","",AL195*T195)</f>
        <v/>
      </c>
      <c r="AN195" s="36">
        <f>IF(OR(AG195="",R195=0),"",MIN(IF(AS195="",9.9E+99,AS195),AK195/R195))</f>
        <v/>
      </c>
      <c r="AO195" s="38">
        <f>IF(AN195="","",AN195*T195)</f>
        <v/>
      </c>
      <c r="AP195" s="40" t="n"/>
      <c r="AQ195" s="41" t="n"/>
      <c r="AR195" s="41" t="n"/>
      <c r="AS195" s="42" t="n"/>
      <c r="AT195" s="43">
        <f>IF(((S195*pax_cap*load_thin*ROUND(K195*L195*revleg_thin,0))-(((battery/range_nm)*D195*ROUND(K195*L195*revleg_thin,0)*VLOOKUP(B195,country_opex,3,FALSE))+V195+W195+X195+Y195+Z195))&lt;=0,"",VLOOKUP(B195,country_opex,7,FALSE)/((S195*pax_cap*load_thin*ROUND(K195*L195*revleg_thin,0))-(((battery/range_nm)*D195*ROUND(K195*L195*revleg_thin,0)*VLOOKUP(B195,country_opex,3,FALSE))+V195+W195+X195+Y195+Z195)))</f>
        <v/>
      </c>
      <c r="AU195" s="43">
        <f>IF(((S195*pax_cap*load_mid*ROUND(K195*L195*revleg_mid,0))-(((battery/range_nm)*D195*ROUND(K195*L195*revleg_mid,0)*VLOOKUP(B195,country_opex,3,FALSE))+V195+W195+X195+Y195+Z195))&lt;=0,"",VLOOKUP(B195,country_opex,7,FALSE)/((S195*pax_cap*load_mid*ROUND(K195*L195*revleg_mid,0))-(((battery/range_nm)*D195*ROUND(K195*L195*revleg_mid,0)*VLOOKUP(B195,country_opex,3,FALSE))+V195+W195+X195+Y195+Z195)))</f>
        <v/>
      </c>
      <c r="AV195" s="43">
        <f>IF(((S195*pax_cap*load_full*ROUND(K195*L195*revleg_full,0))-(((battery/range_nm)*D195*ROUND(K195*L195*revleg_full,0)*VLOOKUP(B195,country_opex,3,FALSE))+V195+W195+X195+Y195+Z195))&lt;=0,"",VLOOKUP(B195,country_opex,7,FALSE)/((S195*pax_cap*load_full*ROUND(K195*L195*revleg_full,0))-(((battery/range_nm)*D195*ROUND(K195*L195*revleg_full,0)*VLOOKUP(B195,country_opex,3,FALSE))+V195+W195+X195+Y195+Z195)))</f>
        <v/>
      </c>
      <c r="AW195" s="44" t="inlineStr">
        <is>
          <t>Emirates Palace&lt;-&gt;Saadiyat experiential luxury hop; both road-served. T5/low.</t>
        </is>
      </c>
      <c r="AX195" s="44" t="inlineStr">
        <is>
          <t>OPT-IN only (R3-LAND: both road-served). Experiential luxury hop.</t>
        </is>
      </c>
    </row>
    <row r="196">
      <c r="A196" s="29" t="inlineStr">
        <is>
          <t>Bolt Uae</t>
        </is>
      </c>
      <c r="B196" s="29" t="inlineStr">
        <is>
          <t>United Arab Emirates</t>
        </is>
      </c>
      <c r="C196" s="30" t="inlineStr">
        <is>
          <t>Dubai Marina → Downtown Creek</t>
        </is>
      </c>
      <c r="D196" s="31" t="n">
        <v>12</v>
      </c>
      <c r="E196" s="26" t="n"/>
      <c r="F196" s="32" t="n"/>
      <c r="G196" s="32" t="n"/>
      <c r="H196" s="19" t="n">
        <v>1</v>
      </c>
      <c r="I196" s="33">
        <f>60*D196/cruise_kt</f>
        <v/>
      </c>
      <c r="J196" s="33">
        <f>I196+turn_min+dwell_min</f>
        <v/>
      </c>
      <c r="K196" s="34">
        <f>MIN(10,FLOOR(60*service_hr/J196,1))</f>
        <v/>
      </c>
      <c r="L196" s="34">
        <f>ROUND(365*mech_uptime*H196,0)</f>
        <v/>
      </c>
      <c r="M196" s="35">
        <f>mech_uptime</f>
        <v/>
      </c>
      <c r="N196" s="35">
        <f>revleg_sel</f>
        <v/>
      </c>
      <c r="O196" s="34">
        <f>ROUND(K196*L196*revleg_sel,0)</f>
        <v/>
      </c>
      <c r="P196" s="36">
        <f>load_sel</f>
        <v/>
      </c>
      <c r="Q196" s="36">
        <f>pax_cap*P196</f>
        <v/>
      </c>
      <c r="R196" s="34">
        <f>Q196*O196</f>
        <v/>
      </c>
      <c r="S196" s="37">
        <f>E196*discount</f>
        <v/>
      </c>
      <c r="T196" s="38">
        <f>S196*R196</f>
        <v/>
      </c>
      <c r="U196" s="38">
        <f>(battery/range_nm)*D196*O196*VLOOKUP(B196,country_opex,3,FALSE)</f>
        <v/>
      </c>
      <c r="V196" s="38">
        <f>VLOOKUP(B196,country_opex,2,FALSE)*crew_factor</f>
        <v/>
      </c>
      <c r="W196" s="38">
        <f>VLOOKUP(B196,country_opex,5,FALSE)</f>
        <v/>
      </c>
      <c r="X196" s="38">
        <f>maint</f>
        <v/>
      </c>
      <c r="Y196" s="38">
        <f>VLOOKUP(B196,country_opex,7,FALSE)*ins_pct</f>
        <v/>
      </c>
      <c r="Z196" s="38">
        <f>charge_berth</f>
        <v/>
      </c>
      <c r="AA196" s="38">
        <f>U196+V196+W196+X196+Y196+Z196</f>
        <v/>
      </c>
      <c r="AB196" s="38">
        <f>VLOOKUP(B196,country_opex,7,FALSE)/dep_years</f>
        <v/>
      </c>
      <c r="AC196" s="38">
        <f>T196-AA196</f>
        <v/>
      </c>
      <c r="AD196" s="35">
        <f>IF(T196=0,"",AC196/T196)</f>
        <v/>
      </c>
      <c r="AE196" s="36">
        <f>IF(AC196&lt;=0,"",VLOOKUP(B196,country_opex,7,FALSE)/AC196)</f>
        <v/>
      </c>
      <c r="AF196" s="33">
        <f>((D196*O196/diesel_nmpg)*diesel_co2pg-(battery/range_nm)*D196*O196*VLOOKUP(B196,country_opex,4,FALSE))/1000</f>
        <v/>
      </c>
      <c r="AG196" s="31" t="n"/>
      <c r="AH196" s="32" t="n"/>
      <c r="AI196" s="32" t="n"/>
      <c r="AJ196" s="39" t="n">
        <v>0.1</v>
      </c>
      <c r="AK196" s="34">
        <f>IF(AG196="","",AG196*AJ196)</f>
        <v/>
      </c>
      <c r="AL196" s="34">
        <f>IF(OR(AG196="",R196=0),"",MIN(IF(AS196="",9.9E+99,AS196),FLOOR(AK196/R196,1)))</f>
        <v/>
      </c>
      <c r="AM196" s="38">
        <f>IF(AL196="","",AL196*T196)</f>
        <v/>
      </c>
      <c r="AN196" s="36">
        <f>IF(OR(AG196="",R196=0),"",MIN(IF(AS196="",9.9E+99,AS196),AK196/R196))</f>
        <v/>
      </c>
      <c r="AO196" s="38">
        <f>IF(AN196="","",AN196*T196)</f>
        <v/>
      </c>
      <c r="AP196" s="40" t="n"/>
      <c r="AQ196" s="41" t="n"/>
      <c r="AR196" s="41" t="n"/>
      <c r="AS196" s="42" t="n"/>
      <c r="AT196" s="43">
        <f>IF(((S196*pax_cap*load_thin*ROUND(K196*L196*revleg_thin,0))-(((battery/range_nm)*D196*ROUND(K196*L196*revleg_thin,0)*VLOOKUP(B196,country_opex,3,FALSE))+V196+W196+X196+Y196+Z196))&lt;=0,"",VLOOKUP(B196,country_opex,7,FALSE)/((S196*pax_cap*load_thin*ROUND(K196*L196*revleg_thin,0))-(((battery/range_nm)*D196*ROUND(K196*L196*revleg_thin,0)*VLOOKUP(B196,country_opex,3,FALSE))+V196+W196+X196+Y196+Z196)))</f>
        <v/>
      </c>
      <c r="AU196" s="43">
        <f>IF(((S196*pax_cap*load_mid*ROUND(K196*L196*revleg_mid,0))-(((battery/range_nm)*D196*ROUND(K196*L196*revleg_mid,0)*VLOOKUP(B196,country_opex,3,FALSE))+V196+W196+X196+Y196+Z196))&lt;=0,"",VLOOKUP(B196,country_opex,7,FALSE)/((S196*pax_cap*load_mid*ROUND(K196*L196*revleg_mid,0))-(((battery/range_nm)*D196*ROUND(K196*L196*revleg_mid,0)*VLOOKUP(B196,country_opex,3,FALSE))+V196+W196+X196+Y196+Z196)))</f>
        <v/>
      </c>
      <c r="AV196" s="43">
        <f>IF(((S196*pax_cap*load_full*ROUND(K196*L196*revleg_full,0))-(((battery/range_nm)*D196*ROUND(K196*L196*revleg_full,0)*VLOOKUP(B196,country_opex,3,FALSE))+V196+W196+X196+Y196+Z196))&lt;=0,"",VLOOKUP(B196,country_opex,7,FALSE)/((S196*pax_cap*load_full*ROUND(K196*L196*revleg_full,0))-(((battery/range_nm)*D196*ROUND(K196*L196*revleg_full,0)*VLOOKUP(B196,country_opex,3,FALSE))+V196+W196+X196+Y196+Z196)))</f>
        <v/>
      </c>
      <c r="AW196" s="44" t="n"/>
      <c r="AX196" s="44" t="n"/>
    </row>
    <row r="197">
      <c r="A197" s="29" t="inlineStr">
        <is>
          <t>Bolt Uae</t>
        </is>
      </c>
      <c r="B197" s="29" t="inlineStr">
        <is>
          <t>United Arab Emirates</t>
        </is>
      </c>
      <c r="C197" s="30" t="inlineStr">
        <is>
          <t>Dubai Marina → Downtown / Dubai Creek</t>
        </is>
      </c>
      <c r="D197" s="31" t="n">
        <v>12</v>
      </c>
      <c r="E197" s="26" t="n"/>
      <c r="F197" s="32" t="n"/>
      <c r="G197" s="32" t="n"/>
      <c r="H197" s="19" t="n">
        <v>1</v>
      </c>
      <c r="I197" s="33">
        <f>60*D197/cruise_kt</f>
        <v/>
      </c>
      <c r="J197" s="33">
        <f>I197+turn_min+dwell_min</f>
        <v/>
      </c>
      <c r="K197" s="34">
        <f>MIN(10,FLOOR(60*service_hr/J197,1))</f>
        <v/>
      </c>
      <c r="L197" s="34">
        <f>ROUND(365*mech_uptime*H197,0)</f>
        <v/>
      </c>
      <c r="M197" s="35">
        <f>mech_uptime</f>
        <v/>
      </c>
      <c r="N197" s="35">
        <f>revleg_sel</f>
        <v/>
      </c>
      <c r="O197" s="34">
        <f>ROUND(K197*L197*revleg_sel,0)</f>
        <v/>
      </c>
      <c r="P197" s="36">
        <f>load_sel</f>
        <v/>
      </c>
      <c r="Q197" s="36">
        <f>pax_cap*P197</f>
        <v/>
      </c>
      <c r="R197" s="34">
        <f>Q197*O197</f>
        <v/>
      </c>
      <c r="S197" s="37">
        <f>E197*discount</f>
        <v/>
      </c>
      <c r="T197" s="38">
        <f>S197*R197</f>
        <v/>
      </c>
      <c r="U197" s="38">
        <f>(battery/range_nm)*D197*O197*VLOOKUP(B197,country_opex,3,FALSE)</f>
        <v/>
      </c>
      <c r="V197" s="38">
        <f>VLOOKUP(B197,country_opex,2,FALSE)*crew_factor</f>
        <v/>
      </c>
      <c r="W197" s="38">
        <f>VLOOKUP(B197,country_opex,5,FALSE)</f>
        <v/>
      </c>
      <c r="X197" s="38">
        <f>maint</f>
        <v/>
      </c>
      <c r="Y197" s="38">
        <f>VLOOKUP(B197,country_opex,7,FALSE)*ins_pct</f>
        <v/>
      </c>
      <c r="Z197" s="38">
        <f>charge_berth</f>
        <v/>
      </c>
      <c r="AA197" s="38">
        <f>U197+V197+W197+X197+Y197+Z197</f>
        <v/>
      </c>
      <c r="AB197" s="38">
        <f>VLOOKUP(B197,country_opex,7,FALSE)/dep_years</f>
        <v/>
      </c>
      <c r="AC197" s="38">
        <f>T197-AA197</f>
        <v/>
      </c>
      <c r="AD197" s="35">
        <f>IF(T197=0,"",AC197/T197)</f>
        <v/>
      </c>
      <c r="AE197" s="36">
        <f>IF(AC197&lt;=0,"",VLOOKUP(B197,country_opex,7,FALSE)/AC197)</f>
        <v/>
      </c>
      <c r="AF197" s="33">
        <f>((D197*O197/diesel_nmpg)*diesel_co2pg-(battery/range_nm)*D197*O197*VLOOKUP(B197,country_opex,4,FALSE))/1000</f>
        <v/>
      </c>
      <c r="AG197" s="31" t="n"/>
      <c r="AH197" s="32" t="n"/>
      <c r="AI197" s="32" t="n"/>
      <c r="AJ197" s="39" t="n">
        <v>0.1</v>
      </c>
      <c r="AK197" s="34">
        <f>IF(AG197="","",AG197*AJ197)</f>
        <v/>
      </c>
      <c r="AL197" s="34">
        <f>IF(OR(AG197="",R197=0),"",MIN(IF(AS197="",9.9E+99,AS197),FLOOR(AK197/R197,1)))</f>
        <v/>
      </c>
      <c r="AM197" s="38">
        <f>IF(AL197="","",AL197*T197)</f>
        <v/>
      </c>
      <c r="AN197" s="36">
        <f>IF(OR(AG197="",R197=0),"",MIN(IF(AS197="",9.9E+99,AS197),AK197/R197))</f>
        <v/>
      </c>
      <c r="AO197" s="38">
        <f>IF(AN197="","",AN197*T197)</f>
        <v/>
      </c>
      <c r="AP197" s="40" t="n"/>
      <c r="AQ197" s="41" t="n"/>
      <c r="AR197" s="41" t="n"/>
      <c r="AS197" s="42" t="n"/>
      <c r="AT197" s="43">
        <f>IF(((S197*pax_cap*load_thin*ROUND(K197*L197*revleg_thin,0))-(((battery/range_nm)*D197*ROUND(K197*L197*revleg_thin,0)*VLOOKUP(B197,country_opex,3,FALSE))+V197+W197+X197+Y197+Z197))&lt;=0,"",VLOOKUP(B197,country_opex,7,FALSE)/((S197*pax_cap*load_thin*ROUND(K197*L197*revleg_thin,0))-(((battery/range_nm)*D197*ROUND(K197*L197*revleg_thin,0)*VLOOKUP(B197,country_opex,3,FALSE))+V197+W197+X197+Y197+Z197)))</f>
        <v/>
      </c>
      <c r="AU197" s="43">
        <f>IF(((S197*pax_cap*load_mid*ROUND(K197*L197*revleg_mid,0))-(((battery/range_nm)*D197*ROUND(K197*L197*revleg_mid,0)*VLOOKUP(B197,country_opex,3,FALSE))+V197+W197+X197+Y197+Z197))&lt;=0,"",VLOOKUP(B197,country_opex,7,FALSE)/((S197*pax_cap*load_mid*ROUND(K197*L197*revleg_mid,0))-(((battery/range_nm)*D197*ROUND(K197*L197*revleg_mid,0)*VLOOKUP(B197,country_opex,3,FALSE))+V197+W197+X197+Y197+Z197)))</f>
        <v/>
      </c>
      <c r="AV197" s="43">
        <f>IF(((S197*pax_cap*load_full*ROUND(K197*L197*revleg_full,0))-(((battery/range_nm)*D197*ROUND(K197*L197*revleg_full,0)*VLOOKUP(B197,country_opex,3,FALSE))+V197+W197+X197+Y197+Z197))&lt;=0,"",VLOOKUP(B197,country_opex,7,FALSE)/((S197*pax_cap*load_full*ROUND(K197*L197*revleg_full,0))-(((battery/range_nm)*D197*ROUND(K197*L197*revleg_full,0)*VLOOKUP(B197,country_opex,3,FALSE))+V197+W197+X197+Y197+Z197)))</f>
        <v/>
      </c>
      <c r="AW197" s="44" t="n"/>
      <c r="AX197" s="44" t="n"/>
    </row>
    <row r="198">
      <c r="A198" s="29" t="inlineStr">
        <is>
          <t>Bolt Uae</t>
        </is>
      </c>
      <c r="B198" s="29" t="inlineStr">
        <is>
          <t>United Arab Emirates</t>
        </is>
      </c>
      <c r="C198" s="30" t="inlineStr">
        <is>
          <t>Yas Marina → Zaya Nurai Island Jetty</t>
        </is>
      </c>
      <c r="D198" s="31" t="n">
        <v>12.6</v>
      </c>
      <c r="E198" s="26" t="n">
        <v>175</v>
      </c>
      <c r="F198" s="32" t="inlineStr">
        <is>
          <t>T5</t>
        </is>
      </c>
      <c r="G198" s="32" t="inlineStr">
        <is>
          <t>low</t>
        </is>
      </c>
      <c r="H198" s="19" t="n">
        <v>1</v>
      </c>
      <c r="I198" s="33">
        <f>60*D198/cruise_kt</f>
        <v/>
      </c>
      <c r="J198" s="33">
        <f>I198+turn_min+dwell_min</f>
        <v/>
      </c>
      <c r="K198" s="34">
        <f>MIN(10,FLOOR(60*service_hr/J198,1))</f>
        <v/>
      </c>
      <c r="L198" s="34">
        <f>ROUND(365*mech_uptime*H198,0)</f>
        <v/>
      </c>
      <c r="M198" s="35">
        <f>mech_uptime</f>
        <v/>
      </c>
      <c r="N198" s="35">
        <f>revleg_sel</f>
        <v/>
      </c>
      <c r="O198" s="34">
        <f>ROUND(K198*L198*revleg_sel,0)</f>
        <v/>
      </c>
      <c r="P198" s="36">
        <f>load_sel</f>
        <v/>
      </c>
      <c r="Q198" s="36">
        <f>pax_cap*P198</f>
        <v/>
      </c>
      <c r="R198" s="34">
        <f>Q198*O198</f>
        <v/>
      </c>
      <c r="S198" s="37">
        <f>E198*discount</f>
        <v/>
      </c>
      <c r="T198" s="38">
        <f>S198*R198</f>
        <v/>
      </c>
      <c r="U198" s="38">
        <f>(battery/range_nm)*D198*O198*VLOOKUP(B198,country_opex,3,FALSE)</f>
        <v/>
      </c>
      <c r="V198" s="38">
        <f>VLOOKUP(B198,country_opex,2,FALSE)*crew_factor</f>
        <v/>
      </c>
      <c r="W198" s="38">
        <f>VLOOKUP(B198,country_opex,5,FALSE)</f>
        <v/>
      </c>
      <c r="X198" s="38">
        <f>maint</f>
        <v/>
      </c>
      <c r="Y198" s="38">
        <f>VLOOKUP(B198,country_opex,7,FALSE)*ins_pct</f>
        <v/>
      </c>
      <c r="Z198" s="38">
        <f>charge_berth</f>
        <v/>
      </c>
      <c r="AA198" s="38">
        <f>U198+V198+W198+X198+Y198+Z198</f>
        <v/>
      </c>
      <c r="AB198" s="38">
        <f>VLOOKUP(B198,country_opex,7,FALSE)/dep_years</f>
        <v/>
      </c>
      <c r="AC198" s="38">
        <f>T198-AA198</f>
        <v/>
      </c>
      <c r="AD198" s="35">
        <f>IF(T198=0,"",AC198/T198)</f>
        <v/>
      </c>
      <c r="AE198" s="36">
        <f>IF(AC198&lt;=0,"",VLOOKUP(B198,country_opex,7,FALSE)/AC198)</f>
        <v/>
      </c>
      <c r="AF198" s="33">
        <f>((D198*O198/diesel_nmpg)*diesel_co2pg-(battery/range_nm)*D198*O198*VLOOKUP(B198,country_opex,4,FALSE))/1000</f>
        <v/>
      </c>
      <c r="AG198" s="31" t="n">
        <v>15000</v>
      </c>
      <c r="AH198" s="32" t="inlineStr">
        <is>
          <t>T3</t>
        </is>
      </c>
      <c r="AI198" s="32" t="inlineStr">
        <is>
          <t>low</t>
        </is>
      </c>
      <c r="AJ198" s="39" t="n">
        <v>0.1</v>
      </c>
      <c r="AK198" s="34">
        <f>IF(AG198="","",AG198*AJ198)</f>
        <v/>
      </c>
      <c r="AL198" s="34">
        <f>IF(OR(AG198="",R198=0),"",MIN(IF(AS198="",9.9E+99,AS198),FLOOR(AK198/R198,1)))</f>
        <v/>
      </c>
      <c r="AM198" s="38">
        <f>IF(AL198="","",AL198*T198)</f>
        <v/>
      </c>
      <c r="AN198" s="36">
        <f>IF(OR(AG198="",R198=0),"",MIN(IF(AS198="",9.9E+99,AS198),AK198/R198))</f>
        <v/>
      </c>
      <c r="AO198" s="38">
        <f>IF(AN198="","",AN198*T198)</f>
        <v/>
      </c>
      <c r="AP198" s="40" t="n"/>
      <c r="AQ198" s="41" t="n"/>
      <c r="AR198" s="41" t="n"/>
      <c r="AS198" s="42" t="n"/>
      <c r="AT198" s="43">
        <f>IF(((S198*pax_cap*load_thin*ROUND(K198*L198*revleg_thin,0))-(((battery/range_nm)*D198*ROUND(K198*L198*revleg_thin,0)*VLOOKUP(B198,country_opex,3,FALSE))+V198+W198+X198+Y198+Z198))&lt;=0,"",VLOOKUP(B198,country_opex,7,FALSE)/((S198*pax_cap*load_thin*ROUND(K198*L198*revleg_thin,0))-(((battery/range_nm)*D198*ROUND(K198*L198*revleg_thin,0)*VLOOKUP(B198,country_opex,3,FALSE))+V198+W198+X198+Y198+Z198)))</f>
        <v/>
      </c>
      <c r="AU198" s="43">
        <f>IF(((S198*pax_cap*load_mid*ROUND(K198*L198*revleg_mid,0))-(((battery/range_nm)*D198*ROUND(K198*L198*revleg_mid,0)*VLOOKUP(B198,country_opex,3,FALSE))+V198+W198+X198+Y198+Z198))&lt;=0,"",VLOOKUP(B198,country_opex,7,FALSE)/((S198*pax_cap*load_mid*ROUND(K198*L198*revleg_mid,0))-(((battery/range_nm)*D198*ROUND(K198*L198*revleg_mid,0)*VLOOKUP(B198,country_opex,3,FALSE))+V198+W198+X198+Y198+Z198)))</f>
        <v/>
      </c>
      <c r="AV198" s="43">
        <f>IF(((S198*pax_cap*load_full*ROUND(K198*L198*revleg_full,0))-(((battery/range_nm)*D198*ROUND(K198*L198*revleg_full,0)*VLOOKUP(B198,country_opex,3,FALSE))+V198+W198+X198+Y198+Z198))&lt;=0,"",VLOOKUP(B198,country_opex,7,FALSE)/((S198*pax_cap*load_full*ROUND(K198*L198*revleg_full,0))-(((battery/range_nm)*D198*ROUND(K198*L198*revleg_full,0)*VLOOKUP(B198,country_opex,3,FALSE))+V198+W198+X198+Y198+Z198)))</f>
        <v/>
      </c>
      <c r="AW198" s="44" t="inlineStr">
        <is>
          <t>Zaya Nurai boat-only, but real transfers depart Saadiyat (4.4nm) not Yas Marina (12.6nm) -&gt; R3-PIER. $175 modeled; demand NULL. T5/low.</t>
        </is>
      </c>
      <c r="AX198" s="44" t="inlineStr">
        <is>
          <t>UAE-DEMAND-ANCHORS-2026-06-17.json — tier-based addressable pool derived from sourcing wave anchors (hotel keys × occ × shuttle adoption, marina activity, RTA marine baseline).</t>
        </is>
      </c>
    </row>
    <row r="199">
      <c r="A199" s="29" t="inlineStr">
        <is>
          <t>Bolt Uae</t>
        </is>
      </c>
      <c r="B199" s="29" t="inlineStr">
        <is>
          <t>United Arab Emirates</t>
        </is>
      </c>
      <c r="C199" s="30" t="inlineStr">
        <is>
          <t>Yas Marina → Saadiyat Beach Club Jetty</t>
        </is>
      </c>
      <c r="D199" s="31" t="n">
        <v>13</v>
      </c>
      <c r="E199" s="26" t="n">
        <v>75</v>
      </c>
      <c r="F199" s="32" t="inlineStr">
        <is>
          <t>T4</t>
        </is>
      </c>
      <c r="G199" s="32" t="inlineStr">
        <is>
          <t>low</t>
        </is>
      </c>
      <c r="H199" s="19" t="n">
        <v>1</v>
      </c>
      <c r="I199" s="33">
        <f>60*D199/cruise_kt</f>
        <v/>
      </c>
      <c r="J199" s="33">
        <f>I199+turn_min+dwell_min</f>
        <v/>
      </c>
      <c r="K199" s="34">
        <f>MIN(10,FLOOR(60*service_hr/J199,1))</f>
        <v/>
      </c>
      <c r="L199" s="34">
        <f>ROUND(365*mech_uptime*H199,0)</f>
        <v/>
      </c>
      <c r="M199" s="35">
        <f>mech_uptime</f>
        <v/>
      </c>
      <c r="N199" s="35">
        <f>revleg_sel</f>
        <v/>
      </c>
      <c r="O199" s="34">
        <f>ROUND(K199*L199*revleg_sel,0)</f>
        <v/>
      </c>
      <c r="P199" s="36">
        <f>load_sel</f>
        <v/>
      </c>
      <c r="Q199" s="36">
        <f>pax_cap*P199</f>
        <v/>
      </c>
      <c r="R199" s="34">
        <f>Q199*O199</f>
        <v/>
      </c>
      <c r="S199" s="37">
        <f>E199*discount</f>
        <v/>
      </c>
      <c r="T199" s="38">
        <f>S199*R199</f>
        <v/>
      </c>
      <c r="U199" s="38">
        <f>(battery/range_nm)*D199*O199*VLOOKUP(B199,country_opex,3,FALSE)</f>
        <v/>
      </c>
      <c r="V199" s="38">
        <f>VLOOKUP(B199,country_opex,2,FALSE)*crew_factor</f>
        <v/>
      </c>
      <c r="W199" s="38">
        <f>VLOOKUP(B199,country_opex,5,FALSE)</f>
        <v/>
      </c>
      <c r="X199" s="38">
        <f>maint</f>
        <v/>
      </c>
      <c r="Y199" s="38">
        <f>VLOOKUP(B199,country_opex,7,FALSE)*ins_pct</f>
        <v/>
      </c>
      <c r="Z199" s="38">
        <f>charge_berth</f>
        <v/>
      </c>
      <c r="AA199" s="38">
        <f>U199+V199+W199+X199+Y199+Z199</f>
        <v/>
      </c>
      <c r="AB199" s="38">
        <f>VLOOKUP(B199,country_opex,7,FALSE)/dep_years</f>
        <v/>
      </c>
      <c r="AC199" s="38">
        <f>T199-AA199</f>
        <v/>
      </c>
      <c r="AD199" s="35">
        <f>IF(T199=0,"",AC199/T199)</f>
        <v/>
      </c>
      <c r="AE199" s="36">
        <f>IF(AC199&lt;=0,"",VLOOKUP(B199,country_opex,7,FALSE)/AC199)</f>
        <v/>
      </c>
      <c r="AF199" s="33">
        <f>((D199*O199/diesel_nmpg)*diesel_co2pg-(battery/range_nm)*D199*O199*VLOOKUP(B199,country_opex,4,FALSE))/1000</f>
        <v/>
      </c>
      <c r="AG199" s="31" t="n">
        <v>30000</v>
      </c>
      <c r="AH199" s="32" t="inlineStr">
        <is>
          <t>T3</t>
        </is>
      </c>
      <c r="AI199" s="32" t="inlineStr">
        <is>
          <t>low</t>
        </is>
      </c>
      <c r="AJ199" s="39" t="n">
        <v>0.1</v>
      </c>
      <c r="AK199" s="34">
        <f>IF(AG199="","",AG199*AJ199)</f>
        <v/>
      </c>
      <c r="AL199" s="34">
        <f>IF(OR(AG199="",R199=0),"",MIN(IF(AS199="",9.9E+99,AS199),FLOOR(AK199/R199,1)))</f>
        <v/>
      </c>
      <c r="AM199" s="38">
        <f>IF(AL199="","",AL199*T199)</f>
        <v/>
      </c>
      <c r="AN199" s="36">
        <f>IF(OR(AG199="",R199=0),"",MIN(IF(AS199="",9.9E+99,AS199),AK199/R199))</f>
        <v/>
      </c>
      <c r="AO199" s="38">
        <f>IF(AN199="","",AN199*T199)</f>
        <v/>
      </c>
      <c r="AP199" s="40" t="n"/>
      <c r="AQ199" s="41" t="n"/>
      <c r="AR199" s="41" t="n"/>
      <c r="AS199" s="42" t="n"/>
      <c r="AT199" s="43">
        <f>IF(((S199*pax_cap*load_thin*ROUND(K199*L199*revleg_thin,0))-(((battery/range_nm)*D199*ROUND(K199*L199*revleg_thin,0)*VLOOKUP(B199,country_opex,3,FALSE))+V199+W199+X199+Y199+Z199))&lt;=0,"",VLOOKUP(B199,country_opex,7,FALSE)/((S199*pax_cap*load_thin*ROUND(K199*L199*revleg_thin,0))-(((battery/range_nm)*D199*ROUND(K199*L199*revleg_thin,0)*VLOOKUP(B199,country_opex,3,FALSE))+V199+W199+X199+Y199+Z199)))</f>
        <v/>
      </c>
      <c r="AU199" s="43">
        <f>IF(((S199*pax_cap*load_mid*ROUND(K199*L199*revleg_mid,0))-(((battery/range_nm)*D199*ROUND(K199*L199*revleg_mid,0)*VLOOKUP(B199,country_opex,3,FALSE))+V199+W199+X199+Y199+Z199))&lt;=0,"",VLOOKUP(B199,country_opex,7,FALSE)/((S199*pax_cap*load_mid*ROUND(K199*L199*revleg_mid,0))-(((battery/range_nm)*D199*ROUND(K199*L199*revleg_mid,0)*VLOOKUP(B199,country_opex,3,FALSE))+V199+W199+X199+Y199+Z199)))</f>
        <v/>
      </c>
      <c r="AV199" s="43">
        <f>IF(((S199*pax_cap*load_full*ROUND(K199*L199*revleg_full,0))-(((battery/range_nm)*D199*ROUND(K199*L199*revleg_full,0)*VLOOKUP(B199,country_opex,3,FALSE))+V199+W199+X199+Y199+Z199))&lt;=0,"",VLOOKUP(B199,country_opex,7,FALSE)/((S199*pax_cap*load_full*ROUND(K199*L199*revleg_full,0))-(((battery/range_nm)*D199*ROUND(K199*L199*revleg_full,0)*VLOOKUP(B199,country_opex,3,FALSE))+V199+W199+X199+Y199+Z199)))</f>
        <v/>
      </c>
      <c r="AW199" s="44" t="inlineStr">
        <is>
          <t>RTA/Dubai-Ferry official ladder (R-RTA, T1): Water Taxi on-demand single AED 150/pax = $40.8; Dubai Ferry Gold AED 75 = $20.4, Silver AED 50 = $13.6; Water Bus AED 7; Abra AED 1. dubai-ferry.com / rta.ae 2025/26. AD leisure-island network; no published AD water-taxi tariff; anchored on Dubai RTA premium ladder.</t>
        </is>
      </c>
      <c r="AX199" s="44" t="inlineStr">
        <is>
          <t>UAE-DEMAND-ANCHORS-2026-06-17.json — tier-based addressable pool derived from sourcing wave anchors (hotel keys × occ × shuttle adoption, marina activity, RTA marine baseline).</t>
        </is>
      </c>
    </row>
    <row r="200">
      <c r="A200" s="29" t="inlineStr">
        <is>
          <t>Bolt Uae</t>
        </is>
      </c>
      <c r="B200" s="29" t="inlineStr">
        <is>
          <t>United Arab Emirates</t>
        </is>
      </c>
      <c r="C200" s="30" t="inlineStr">
        <is>
          <t>Dibba Marina (Fujairah) → Khorfakkan Corniche / Port (Sharjah enclave)</t>
        </is>
      </c>
      <c r="D200" s="31" t="n">
        <v>20.4</v>
      </c>
      <c r="E200" s="26" t="n">
        <v>65</v>
      </c>
      <c r="F200" s="32" t="inlineStr">
        <is>
          <t>T3</t>
        </is>
      </c>
      <c r="G200" s="32" t="inlineStr">
        <is>
          <t>med</t>
        </is>
      </c>
      <c r="H200" s="19" t="n">
        <v>1</v>
      </c>
      <c r="I200" s="33">
        <f>60*D200/cruise_kt</f>
        <v/>
      </c>
      <c r="J200" s="33">
        <f>I200+turn_min+dwell_min</f>
        <v/>
      </c>
      <c r="K200" s="34">
        <f>MIN(10,FLOOR(60*service_hr/J200,1))</f>
        <v/>
      </c>
      <c r="L200" s="34">
        <f>ROUND(365*mech_uptime*H200,0)</f>
        <v/>
      </c>
      <c r="M200" s="35">
        <f>mech_uptime</f>
        <v/>
      </c>
      <c r="N200" s="35">
        <f>revleg_sel</f>
        <v/>
      </c>
      <c r="O200" s="34">
        <f>ROUND(K200*L200*revleg_sel,0)</f>
        <v/>
      </c>
      <c r="P200" s="36">
        <f>load_sel</f>
        <v/>
      </c>
      <c r="Q200" s="36">
        <f>pax_cap*P200</f>
        <v/>
      </c>
      <c r="R200" s="34">
        <f>Q200*O200</f>
        <v/>
      </c>
      <c r="S200" s="37">
        <f>E200*discount</f>
        <v/>
      </c>
      <c r="T200" s="38">
        <f>S200*R200</f>
        <v/>
      </c>
      <c r="U200" s="38">
        <f>(battery/range_nm)*D200*O200*VLOOKUP(B200,country_opex,3,FALSE)</f>
        <v/>
      </c>
      <c r="V200" s="38">
        <f>VLOOKUP(B200,country_opex,2,FALSE)*crew_factor</f>
        <v/>
      </c>
      <c r="W200" s="38">
        <f>VLOOKUP(B200,country_opex,5,FALSE)</f>
        <v/>
      </c>
      <c r="X200" s="38">
        <f>maint</f>
        <v/>
      </c>
      <c r="Y200" s="38">
        <f>VLOOKUP(B200,country_opex,7,FALSE)*ins_pct</f>
        <v/>
      </c>
      <c r="Z200" s="38">
        <f>charge_berth</f>
        <v/>
      </c>
      <c r="AA200" s="38">
        <f>U200+V200+W200+X200+Y200+Z200</f>
        <v/>
      </c>
      <c r="AB200" s="38">
        <f>VLOOKUP(B200,country_opex,7,FALSE)/dep_years</f>
        <v/>
      </c>
      <c r="AC200" s="38">
        <f>T200-AA200</f>
        <v/>
      </c>
      <c r="AD200" s="35">
        <f>IF(T200=0,"",AC200/T200)</f>
        <v/>
      </c>
      <c r="AE200" s="36">
        <f>IF(AC200&lt;=0,"",VLOOKUP(B200,country_opex,7,FALSE)/AC200)</f>
        <v/>
      </c>
      <c r="AF200" s="33">
        <f>((D200*O200/diesel_nmpg)*diesel_co2pg-(battery/range_nm)*D200*O200*VLOOKUP(B200,country_opex,4,FALSE))/1000</f>
        <v/>
      </c>
      <c r="AG200" s="31" t="n">
        <v>60000</v>
      </c>
      <c r="AH200" s="32" t="inlineStr">
        <is>
          <t>T4</t>
        </is>
      </c>
      <c r="AI200" s="32" t="inlineStr">
        <is>
          <t>low</t>
        </is>
      </c>
      <c r="AJ200" s="39" t="n">
        <v>0.1</v>
      </c>
      <c r="AK200" s="34">
        <f>IF(AG200="","",AG200*AJ200)</f>
        <v/>
      </c>
      <c r="AL200" s="34">
        <f>IF(OR(AG200="",R200=0),"",MIN(IF(AS200="",9.9E+99,AS200),FLOOR(AK200/R200,1)))</f>
        <v/>
      </c>
      <c r="AM200" s="38">
        <f>IF(AL200="","",AL200*T200)</f>
        <v/>
      </c>
      <c r="AN200" s="36">
        <f>IF(OR(AG200="",R200=0),"",MIN(IF(AS200="",9.9E+99,AS200),AK200/R200))</f>
        <v/>
      </c>
      <c r="AO200" s="38">
        <f>IF(AN200="","",AN200*T200)</f>
        <v/>
      </c>
      <c r="AP200" s="40" t="n"/>
      <c r="AQ200" s="41" t="n"/>
      <c r="AR200" s="41" t="n"/>
      <c r="AS200" s="42" t="n"/>
      <c r="AT200" s="43">
        <f>IF(((S200*pax_cap*load_thin*ROUND(K200*L200*revleg_thin,0))-(((battery/range_nm)*D200*ROUND(K200*L200*revleg_thin,0)*VLOOKUP(B200,country_opex,3,FALSE))+V200+W200+X200+Y200+Z200))&lt;=0,"",VLOOKUP(B200,country_opex,7,FALSE)/((S200*pax_cap*load_thin*ROUND(K200*L200*revleg_thin,0))-(((battery/range_nm)*D200*ROUND(K200*L200*revleg_thin,0)*VLOOKUP(B200,country_opex,3,FALSE))+V200+W200+X200+Y200+Z200)))</f>
        <v/>
      </c>
      <c r="AU200" s="43">
        <f>IF(((S200*pax_cap*load_mid*ROUND(K200*L200*revleg_mid,0))-(((battery/range_nm)*D200*ROUND(K200*L200*revleg_mid,0)*VLOOKUP(B200,country_opex,3,FALSE))+V200+W200+X200+Y200+Z200))&lt;=0,"",VLOOKUP(B200,country_opex,7,FALSE)/((S200*pax_cap*load_mid*ROUND(K200*L200*revleg_mid,0))-(((battery/range_nm)*D200*ROUND(K200*L200*revleg_mid,0)*VLOOKUP(B200,country_opex,3,FALSE))+V200+W200+X200+Y200+Z200)))</f>
        <v/>
      </c>
      <c r="AV200" s="43">
        <f>IF(((S200*pax_cap*load_full*ROUND(K200*L200*revleg_full,0))-(((battery/range_nm)*D200*ROUND(K200*L200*revleg_full,0)*VLOOKUP(B200,country_opex,3,FALSE))+V200+W200+X200+Y200+Z200))&lt;=0,"",VLOOKUP(B200,country_opex,7,FALSE)/((S200*pax_cap*load_full*ROUND(K200*L200*revleg_full,0))-(((battery/range_nm)*D200*ROUND(K200*L200*revleg_full,0)*VLOOKUP(B200,country_opex,3,FALSE))+V200+W200+X200+Y200+Z200)))</f>
        <v/>
      </c>
      <c r="AW200" s="44" t="inlineStr">
        <is>
          <t>Fujairah east-coast day-trip boats: Dibba/Khor Fakkan dhow &amp; speedboat tours AED 140-210/pax (Instagram/Tripadvisor/Viator 2025); Musandam dhow cruises similar.</t>
        </is>
      </c>
      <c r="AX200" s="44" t="inlineStr">
        <is>
          <t>Fujairah arrivals crossed 340,000 (+22% YoY), 209 hotels, 70-100% occ (UAE Ministry/Fujairah Tourism); east-coast diving/Musandam day-trips genuinely water-based.</t>
        </is>
      </c>
    </row>
    <row r="201">
      <c r="A201" s="29" t="inlineStr">
        <is>
          <t>Bolt Uae</t>
        </is>
      </c>
      <c r="B201" s="29" t="inlineStr">
        <is>
          <t>United Arab Emirates</t>
        </is>
      </c>
      <c r="C201" s="30" t="inlineStr">
        <is>
          <t>Dubai Harbour Marina → Al Khan Lagoon mouth</t>
        </is>
      </c>
      <c r="D201" s="31" t="n">
        <v>25.1</v>
      </c>
      <c r="E201" s="26" t="n">
        <v>85</v>
      </c>
      <c r="F201" s="32" t="inlineStr">
        <is>
          <t>T5</t>
        </is>
      </c>
      <c r="G201" s="32" t="inlineStr">
        <is>
          <t>low</t>
        </is>
      </c>
      <c r="H201" s="19" t="n">
        <v>1</v>
      </c>
      <c r="I201" s="33">
        <f>60*D201/cruise_kt</f>
        <v/>
      </c>
      <c r="J201" s="33">
        <f>I201+turn_min+dwell_min</f>
        <v/>
      </c>
      <c r="K201" s="34">
        <f>MIN(10,FLOOR(60*service_hr/J201,1))</f>
        <v/>
      </c>
      <c r="L201" s="34">
        <f>ROUND(365*mech_uptime*H201,0)</f>
        <v/>
      </c>
      <c r="M201" s="35">
        <f>mech_uptime</f>
        <v/>
      </c>
      <c r="N201" s="35">
        <f>revleg_sel</f>
        <v/>
      </c>
      <c r="O201" s="34">
        <f>ROUND(K201*L201*revleg_sel,0)</f>
        <v/>
      </c>
      <c r="P201" s="36">
        <f>load_sel</f>
        <v/>
      </c>
      <c r="Q201" s="36">
        <f>pax_cap*P201</f>
        <v/>
      </c>
      <c r="R201" s="34">
        <f>Q201*O201</f>
        <v/>
      </c>
      <c r="S201" s="37">
        <f>E201*discount</f>
        <v/>
      </c>
      <c r="T201" s="38">
        <f>S201*R201</f>
        <v/>
      </c>
      <c r="U201" s="38">
        <f>(battery/range_nm)*D201*O201*VLOOKUP(B201,country_opex,3,FALSE)</f>
        <v/>
      </c>
      <c r="V201" s="38">
        <f>VLOOKUP(B201,country_opex,2,FALSE)*crew_factor</f>
        <v/>
      </c>
      <c r="W201" s="38">
        <f>VLOOKUP(B201,country_opex,5,FALSE)</f>
        <v/>
      </c>
      <c r="X201" s="38">
        <f>maint</f>
        <v/>
      </c>
      <c r="Y201" s="38">
        <f>VLOOKUP(B201,country_opex,7,FALSE)*ins_pct</f>
        <v/>
      </c>
      <c r="Z201" s="38">
        <f>charge_berth</f>
        <v/>
      </c>
      <c r="AA201" s="38">
        <f>U201+V201+W201+X201+Y201+Z201</f>
        <v/>
      </c>
      <c r="AB201" s="38">
        <f>VLOOKUP(B201,country_opex,7,FALSE)/dep_years</f>
        <v/>
      </c>
      <c r="AC201" s="38">
        <f>T201-AA201</f>
        <v/>
      </c>
      <c r="AD201" s="35">
        <f>IF(T201=0,"",AC201/T201)</f>
        <v/>
      </c>
      <c r="AE201" s="36">
        <f>IF(AC201&lt;=0,"",VLOOKUP(B201,country_opex,7,FALSE)/AC201)</f>
        <v/>
      </c>
      <c r="AF201" s="33">
        <f>((D201*O201/diesel_nmpg)*diesel_co2pg-(battery/range_nm)*D201*O201*VLOOKUP(B201,country_opex,4,FALSE))/1000</f>
        <v/>
      </c>
      <c r="AG201" s="31" t="n">
        <v>40000</v>
      </c>
      <c r="AH201" s="32" t="inlineStr">
        <is>
          <t>T2</t>
        </is>
      </c>
      <c r="AI201" s="32" t="inlineStr">
        <is>
          <t>low</t>
        </is>
      </c>
      <c r="AJ201" s="39" t="n">
        <v>0.1</v>
      </c>
      <c r="AK201" s="34">
        <f>IF(AG201="","",AG201*AJ201)</f>
        <v/>
      </c>
      <c r="AL201" s="34">
        <f>IF(OR(AG201="",R201=0),"",MIN(IF(AS201="",9.9E+99,AS201),FLOOR(AK201/R201,1)))</f>
        <v/>
      </c>
      <c r="AM201" s="38">
        <f>IF(AL201="","",AL201*T201)</f>
        <v/>
      </c>
      <c r="AN201" s="36">
        <f>IF(OR(AG201="",R201=0),"",MIN(IF(AS201="",9.9E+99,AS201),AK201/R201))</f>
        <v/>
      </c>
      <c r="AO201" s="38">
        <f>IF(AN201="","",AN201*T201)</f>
        <v/>
      </c>
      <c r="AP201" s="40" t="n"/>
      <c r="AQ201" s="41" t="n"/>
      <c r="AR201" s="41" t="n"/>
      <c r="AS201" s="42" t="n"/>
      <c r="AT201" s="43">
        <f>IF(((S201*pax_cap*load_thin*ROUND(K201*L201*revleg_thin,0))-(((battery/range_nm)*D201*ROUND(K201*L201*revleg_thin,0)*VLOOKUP(B201,country_opex,3,FALSE))+V201+W201+X201+Y201+Z201))&lt;=0,"",VLOOKUP(B201,country_opex,7,FALSE)/((S201*pax_cap*load_thin*ROUND(K201*L201*revleg_thin,0))-(((battery/range_nm)*D201*ROUND(K201*L201*revleg_thin,0)*VLOOKUP(B201,country_opex,3,FALSE))+V201+W201+X201+Y201+Z201)))</f>
        <v/>
      </c>
      <c r="AU201" s="43">
        <f>IF(((S201*pax_cap*load_mid*ROUND(K201*L201*revleg_mid,0))-(((battery/range_nm)*D201*ROUND(K201*L201*revleg_mid,0)*VLOOKUP(B201,country_opex,3,FALSE))+V201+W201+X201+Y201+Z201))&lt;=0,"",VLOOKUP(B201,country_opex,7,FALSE)/((S201*pax_cap*load_mid*ROUND(K201*L201*revleg_mid,0))-(((battery/range_nm)*D201*ROUND(K201*L201*revleg_mid,0)*VLOOKUP(B201,country_opex,3,FALSE))+V201+W201+X201+Y201+Z201)))</f>
        <v/>
      </c>
      <c r="AV201" s="43">
        <f>IF(((S201*pax_cap*load_full*ROUND(K201*L201*revleg_full,0))-(((battery/range_nm)*D201*ROUND(K201*L201*revleg_full,0)*VLOOKUP(B201,country_opex,3,FALSE))+V201+W201+X201+Y201+Z201))&lt;=0,"",VLOOKUP(B201,country_opex,7,FALSE)/((S201*pax_cap*load_full*ROUND(K201*L201*revleg_full,0))-(((battery/range_nm)*D201*ROUND(K201*L201*revleg_full,0)*VLOOKUP(B201,country_opex,3,FALSE))+V201+W201+X201+Y201+Z201)))</f>
        <v/>
      </c>
      <c r="AW201" s="44" t="inlineStr">
        <is>
          <t>Dubai-Sharjah Ferry Gold AED 25 subsidized-commuter (R5-EXT). Premium per-seat $85 modeled (between subsidized ferry and charter). T5/low.</t>
        </is>
      </c>
      <c r="AX201" s="44" t="inlineStr">
        <is>
          <t>UAE-DEMAND-ANCHORS-2026-06-17.json — sourcing wave: RTA Marine 18M riders 2024; DET 43M room-nights; DCT AD 4.8M hotel visitors; RAKTDA 4.35M guest-nights; Miral Yas 38M visits; Marjan/Skift Wynn projections; SCTDA Sharjah 1.6M.</t>
        </is>
      </c>
    </row>
    <row r="202">
      <c r="A202" s="29" t="inlineStr">
        <is>
          <t>Bolt Uae</t>
        </is>
      </c>
      <c r="B202" s="29" t="inlineStr">
        <is>
          <t>United Arab Emirates</t>
        </is>
      </c>
      <c r="C202" s="30" t="inlineStr">
        <is>
          <t>Dubai Marina → Abu Dhabi Corniche</t>
        </is>
      </c>
      <c r="D202" s="31" t="n">
        <v>55.8</v>
      </c>
      <c r="E202" s="26" t="n"/>
      <c r="F202" s="32" t="n"/>
      <c r="G202" s="32" t="n"/>
      <c r="H202" s="19" t="n">
        <v>1</v>
      </c>
      <c r="I202" s="33">
        <f>60*D202/cruise_kt</f>
        <v/>
      </c>
      <c r="J202" s="33">
        <f>I202+turn_min+dwell_min</f>
        <v/>
      </c>
      <c r="K202" s="34">
        <f>MIN(10,FLOOR(60*service_hr/J202,1))</f>
        <v/>
      </c>
      <c r="L202" s="34">
        <f>ROUND(365*mech_uptime*H202,0)</f>
        <v/>
      </c>
      <c r="M202" s="35">
        <f>mech_uptime</f>
        <v/>
      </c>
      <c r="N202" s="35">
        <f>revleg_sel</f>
        <v/>
      </c>
      <c r="O202" s="34">
        <f>ROUND(K202*L202*revleg_sel,0)</f>
        <v/>
      </c>
      <c r="P202" s="36">
        <f>load_sel</f>
        <v/>
      </c>
      <c r="Q202" s="36">
        <f>pax_cap*P202</f>
        <v/>
      </c>
      <c r="R202" s="34">
        <f>Q202*O202</f>
        <v/>
      </c>
      <c r="S202" s="37">
        <f>E202*discount</f>
        <v/>
      </c>
      <c r="T202" s="38">
        <f>S202*R202</f>
        <v/>
      </c>
      <c r="U202" s="38">
        <f>(battery/range_nm)*D202*O202*VLOOKUP(B202,country_opex,3,FALSE)</f>
        <v/>
      </c>
      <c r="V202" s="38">
        <f>VLOOKUP(B202,country_opex,2,FALSE)*crew_factor</f>
        <v/>
      </c>
      <c r="W202" s="38">
        <f>VLOOKUP(B202,country_opex,5,FALSE)</f>
        <v/>
      </c>
      <c r="X202" s="38">
        <f>maint</f>
        <v/>
      </c>
      <c r="Y202" s="38">
        <f>VLOOKUP(B202,country_opex,7,FALSE)*ins_pct</f>
        <v/>
      </c>
      <c r="Z202" s="38">
        <f>charge_berth</f>
        <v/>
      </c>
      <c r="AA202" s="38">
        <f>U202+V202+W202+X202+Y202+Z202</f>
        <v/>
      </c>
      <c r="AB202" s="38">
        <f>VLOOKUP(B202,country_opex,7,FALSE)/dep_years</f>
        <v/>
      </c>
      <c r="AC202" s="38">
        <f>T202-AA202</f>
        <v/>
      </c>
      <c r="AD202" s="35">
        <f>IF(T202=0,"",AC202/T202)</f>
        <v/>
      </c>
      <c r="AE202" s="36">
        <f>IF(AC202&lt;=0,"",VLOOKUP(B202,country_opex,7,FALSE)/AC202)</f>
        <v/>
      </c>
      <c r="AF202" s="33">
        <f>((D202*O202/diesel_nmpg)*diesel_co2pg-(battery/range_nm)*D202*O202*VLOOKUP(B202,country_opex,4,FALSE))/1000</f>
        <v/>
      </c>
      <c r="AG202" s="31" t="n"/>
      <c r="AH202" s="32" t="n"/>
      <c r="AI202" s="32" t="n"/>
      <c r="AJ202" s="39" t="n">
        <v>0.1</v>
      </c>
      <c r="AK202" s="34">
        <f>IF(AG202="","",AG202*AJ202)</f>
        <v/>
      </c>
      <c r="AL202" s="34">
        <f>IF(OR(AG202="",R202=0),"",MIN(IF(AS202="",9.9E+99,AS202),FLOOR(AK202/R202,1)))</f>
        <v/>
      </c>
      <c r="AM202" s="38">
        <f>IF(AL202="","",AL202*T202)</f>
        <v/>
      </c>
      <c r="AN202" s="36">
        <f>IF(OR(AG202="",R202=0),"",MIN(IF(AS202="",9.9E+99,AS202),AK202/R202))</f>
        <v/>
      </c>
      <c r="AO202" s="38">
        <f>IF(AN202="","",AN202*T202)</f>
        <v/>
      </c>
      <c r="AP202" s="40" t="n"/>
      <c r="AQ202" s="41" t="n"/>
      <c r="AR202" s="41" t="n"/>
      <c r="AS202" s="42" t="n"/>
      <c r="AT202" s="43">
        <f>IF(((S202*pax_cap*load_thin*ROUND(K202*L202*revleg_thin,0))-(((battery/range_nm)*D202*ROUND(K202*L202*revleg_thin,0)*VLOOKUP(B202,country_opex,3,FALSE))+V202+W202+X202+Y202+Z202))&lt;=0,"",VLOOKUP(B202,country_opex,7,FALSE)/((S202*pax_cap*load_thin*ROUND(K202*L202*revleg_thin,0))-(((battery/range_nm)*D202*ROUND(K202*L202*revleg_thin,0)*VLOOKUP(B202,country_opex,3,FALSE))+V202+W202+X202+Y202+Z202)))</f>
        <v/>
      </c>
      <c r="AU202" s="43">
        <f>IF(((S202*pax_cap*load_mid*ROUND(K202*L202*revleg_mid,0))-(((battery/range_nm)*D202*ROUND(K202*L202*revleg_mid,0)*VLOOKUP(B202,country_opex,3,FALSE))+V202+W202+X202+Y202+Z202))&lt;=0,"",VLOOKUP(B202,country_opex,7,FALSE)/((S202*pax_cap*load_mid*ROUND(K202*L202*revleg_mid,0))-(((battery/range_nm)*D202*ROUND(K202*L202*revleg_mid,0)*VLOOKUP(B202,country_opex,3,FALSE))+V202+W202+X202+Y202+Z202)))</f>
        <v/>
      </c>
      <c r="AV202" s="43">
        <f>IF(((S202*pax_cap*load_full*ROUND(K202*L202*revleg_full,0))-(((battery/range_nm)*D202*ROUND(K202*L202*revleg_full,0)*VLOOKUP(B202,country_opex,3,FALSE))+V202+W202+X202+Y202+Z202))&lt;=0,"",VLOOKUP(B202,country_opex,7,FALSE)/((S202*pax_cap*load_full*ROUND(K202*L202*revleg_full,0))-(((battery/range_nm)*D202*ROUND(K202*L202*revleg_full,0)*VLOOKUP(B202,country_opex,3,FALSE))+V202+W202+X202+Y202+Z202)))</f>
        <v/>
      </c>
      <c r="AW202" s="44" t="n"/>
      <c r="AX202" s="44" t="n"/>
    </row>
    <row r="203">
      <c r="A203" s="29" t="inlineStr">
        <is>
          <t>Bolt Uae</t>
        </is>
      </c>
      <c r="B203" s="29" t="inlineStr">
        <is>
          <t>United Arab Emirates</t>
        </is>
      </c>
      <c r="C203" s="30" t="inlineStr">
        <is>
          <t>Dubai → Abu Dhabi (Corniche)</t>
        </is>
      </c>
      <c r="D203" s="31" t="n">
        <v>55.8</v>
      </c>
      <c r="E203" s="26" t="n"/>
      <c r="F203" s="32" t="n"/>
      <c r="G203" s="32" t="n"/>
      <c r="H203" s="19" t="n">
        <v>1</v>
      </c>
      <c r="I203" s="33">
        <f>60*D203/cruise_kt</f>
        <v/>
      </c>
      <c r="J203" s="33">
        <f>I203+turn_min+dwell_min</f>
        <v/>
      </c>
      <c r="K203" s="34">
        <f>MIN(10,FLOOR(60*service_hr/J203,1))</f>
        <v/>
      </c>
      <c r="L203" s="34">
        <f>ROUND(365*mech_uptime*H203,0)</f>
        <v/>
      </c>
      <c r="M203" s="35">
        <f>mech_uptime</f>
        <v/>
      </c>
      <c r="N203" s="35">
        <f>revleg_sel</f>
        <v/>
      </c>
      <c r="O203" s="34">
        <f>ROUND(K203*L203*revleg_sel,0)</f>
        <v/>
      </c>
      <c r="P203" s="36">
        <f>load_sel</f>
        <v/>
      </c>
      <c r="Q203" s="36">
        <f>pax_cap*P203</f>
        <v/>
      </c>
      <c r="R203" s="34">
        <f>Q203*O203</f>
        <v/>
      </c>
      <c r="S203" s="37">
        <f>E203*discount</f>
        <v/>
      </c>
      <c r="T203" s="38">
        <f>S203*R203</f>
        <v/>
      </c>
      <c r="U203" s="38">
        <f>(battery/range_nm)*D203*O203*VLOOKUP(B203,country_opex,3,FALSE)</f>
        <v/>
      </c>
      <c r="V203" s="38">
        <f>VLOOKUP(B203,country_opex,2,FALSE)*crew_factor</f>
        <v/>
      </c>
      <c r="W203" s="38">
        <f>VLOOKUP(B203,country_opex,5,FALSE)</f>
        <v/>
      </c>
      <c r="X203" s="38">
        <f>maint</f>
        <v/>
      </c>
      <c r="Y203" s="38">
        <f>VLOOKUP(B203,country_opex,7,FALSE)*ins_pct</f>
        <v/>
      </c>
      <c r="Z203" s="38">
        <f>charge_berth</f>
        <v/>
      </c>
      <c r="AA203" s="38">
        <f>U203+V203+W203+X203+Y203+Z203</f>
        <v/>
      </c>
      <c r="AB203" s="38">
        <f>VLOOKUP(B203,country_opex,7,FALSE)/dep_years</f>
        <v/>
      </c>
      <c r="AC203" s="38">
        <f>T203-AA203</f>
        <v/>
      </c>
      <c r="AD203" s="35">
        <f>IF(T203=0,"",AC203/T203)</f>
        <v/>
      </c>
      <c r="AE203" s="36">
        <f>IF(AC203&lt;=0,"",VLOOKUP(B203,country_opex,7,FALSE)/AC203)</f>
        <v/>
      </c>
      <c r="AF203" s="33">
        <f>((D203*O203/diesel_nmpg)*diesel_co2pg-(battery/range_nm)*D203*O203*VLOOKUP(B203,country_opex,4,FALSE))/1000</f>
        <v/>
      </c>
      <c r="AG203" s="31" t="n"/>
      <c r="AH203" s="32" t="n"/>
      <c r="AI203" s="32" t="n"/>
      <c r="AJ203" s="39" t="n">
        <v>0.1</v>
      </c>
      <c r="AK203" s="34">
        <f>IF(AG203="","",AG203*AJ203)</f>
        <v/>
      </c>
      <c r="AL203" s="34">
        <f>IF(OR(AG203="",R203=0),"",MIN(IF(AS203="",9.9E+99,AS203),FLOOR(AK203/R203,1)))</f>
        <v/>
      </c>
      <c r="AM203" s="38">
        <f>IF(AL203="","",AL203*T203)</f>
        <v/>
      </c>
      <c r="AN203" s="36">
        <f>IF(OR(AG203="",R203=0),"",MIN(IF(AS203="",9.9E+99,AS203),AK203/R203))</f>
        <v/>
      </c>
      <c r="AO203" s="38">
        <f>IF(AN203="","",AN203*T203)</f>
        <v/>
      </c>
      <c r="AP203" s="40" t="n"/>
      <c r="AQ203" s="41" t="n"/>
      <c r="AR203" s="41" t="n"/>
      <c r="AS203" s="42" t="n"/>
      <c r="AT203" s="43">
        <f>IF(((S203*pax_cap*load_thin*ROUND(K203*L203*revleg_thin,0))-(((battery/range_nm)*D203*ROUND(K203*L203*revleg_thin,0)*VLOOKUP(B203,country_opex,3,FALSE))+V203+W203+X203+Y203+Z203))&lt;=0,"",VLOOKUP(B203,country_opex,7,FALSE)/((S203*pax_cap*load_thin*ROUND(K203*L203*revleg_thin,0))-(((battery/range_nm)*D203*ROUND(K203*L203*revleg_thin,0)*VLOOKUP(B203,country_opex,3,FALSE))+V203+W203+X203+Y203+Z203)))</f>
        <v/>
      </c>
      <c r="AU203" s="43">
        <f>IF(((S203*pax_cap*load_mid*ROUND(K203*L203*revleg_mid,0))-(((battery/range_nm)*D203*ROUND(K203*L203*revleg_mid,0)*VLOOKUP(B203,country_opex,3,FALSE))+V203+W203+X203+Y203+Z203))&lt;=0,"",VLOOKUP(B203,country_opex,7,FALSE)/((S203*pax_cap*load_mid*ROUND(K203*L203*revleg_mid,0))-(((battery/range_nm)*D203*ROUND(K203*L203*revleg_mid,0)*VLOOKUP(B203,country_opex,3,FALSE))+V203+W203+X203+Y203+Z203)))</f>
        <v/>
      </c>
      <c r="AV203" s="43">
        <f>IF(((S203*pax_cap*load_full*ROUND(K203*L203*revleg_full,0))-(((battery/range_nm)*D203*ROUND(K203*L203*revleg_full,0)*VLOOKUP(B203,country_opex,3,FALSE))+V203+W203+X203+Y203+Z203))&lt;=0,"",VLOOKUP(B203,country_opex,7,FALSE)/((S203*pax_cap*load_full*ROUND(K203*L203*revleg_full,0))-(((battery/range_nm)*D203*ROUND(K203*L203*revleg_full,0)*VLOOKUP(B203,country_opex,3,FALSE))+V203+W203+X203+Y203+Z203)))</f>
        <v/>
      </c>
      <c r="AW203" s="44" t="n"/>
      <c r="AX203" s="44" t="n"/>
    </row>
    <row r="204">
      <c r="A204" s="29" t="inlineStr">
        <is>
          <t>Bolt Uae</t>
        </is>
      </c>
      <c r="B204" s="29" t="inlineStr">
        <is>
          <t>United Arab Emirates</t>
        </is>
      </c>
      <c r="C204" s="30" t="inlineStr">
        <is>
          <t>Dubai Harbour Marina → Wynn Al Marjan Island arrival lagoon</t>
        </is>
      </c>
      <c r="D204" s="31" t="n">
        <v>56</v>
      </c>
      <c r="E204" s="26" t="n">
        <v>200</v>
      </c>
      <c r="F204" s="32" t="inlineStr">
        <is>
          <t>T5</t>
        </is>
      </c>
      <c r="G204" s="32" t="inlineStr">
        <is>
          <t>low</t>
        </is>
      </c>
      <c r="H204" s="19" t="n">
        <v>1</v>
      </c>
      <c r="I204" s="33">
        <f>60*D204/cruise_kt</f>
        <v/>
      </c>
      <c r="J204" s="33">
        <f>I204+turn_min+dwell_min</f>
        <v/>
      </c>
      <c r="K204" s="34">
        <f>MIN(10,FLOOR(60*service_hr/J204,1))</f>
        <v/>
      </c>
      <c r="L204" s="34">
        <f>ROUND(365*mech_uptime*H204,0)</f>
        <v/>
      </c>
      <c r="M204" s="35">
        <f>mech_uptime</f>
        <v/>
      </c>
      <c r="N204" s="35">
        <f>revleg_sel</f>
        <v/>
      </c>
      <c r="O204" s="34">
        <f>ROUND(K204*L204*revleg_sel,0)</f>
        <v/>
      </c>
      <c r="P204" s="36">
        <f>load_sel</f>
        <v/>
      </c>
      <c r="Q204" s="36">
        <f>pax_cap*P204</f>
        <v/>
      </c>
      <c r="R204" s="34">
        <f>Q204*O204</f>
        <v/>
      </c>
      <c r="S204" s="37">
        <f>E204*discount</f>
        <v/>
      </c>
      <c r="T204" s="38">
        <f>S204*R204</f>
        <v/>
      </c>
      <c r="U204" s="38">
        <f>(battery/range_nm)*D204*O204*VLOOKUP(B204,country_opex,3,FALSE)</f>
        <v/>
      </c>
      <c r="V204" s="38">
        <f>VLOOKUP(B204,country_opex,2,FALSE)*crew_factor</f>
        <v/>
      </c>
      <c r="W204" s="38">
        <f>VLOOKUP(B204,country_opex,5,FALSE)</f>
        <v/>
      </c>
      <c r="X204" s="38">
        <f>maint</f>
        <v/>
      </c>
      <c r="Y204" s="38">
        <f>VLOOKUP(B204,country_opex,7,FALSE)*ins_pct</f>
        <v/>
      </c>
      <c r="Z204" s="38">
        <f>charge_berth</f>
        <v/>
      </c>
      <c r="AA204" s="38">
        <f>U204+V204+W204+X204+Y204+Z204</f>
        <v/>
      </c>
      <c r="AB204" s="38">
        <f>VLOOKUP(B204,country_opex,7,FALSE)/dep_years</f>
        <v/>
      </c>
      <c r="AC204" s="38">
        <f>T204-AA204</f>
        <v/>
      </c>
      <c r="AD204" s="35">
        <f>IF(T204=0,"",AC204/T204)</f>
        <v/>
      </c>
      <c r="AE204" s="36">
        <f>IF(AC204&lt;=0,"",VLOOKUP(B204,country_opex,7,FALSE)/AC204)</f>
        <v/>
      </c>
      <c r="AF204" s="33">
        <f>((D204*O204/diesel_nmpg)*diesel_co2pg-(battery/range_nm)*D204*O204*VLOOKUP(B204,country_opex,4,FALSE))/1000</f>
        <v/>
      </c>
      <c r="AG204" s="31" t="n">
        <v>60000</v>
      </c>
      <c r="AH204" s="32" t="inlineStr">
        <is>
          <t>T2</t>
        </is>
      </c>
      <c r="AI204" s="32" t="inlineStr">
        <is>
          <t>medium</t>
        </is>
      </c>
      <c r="AJ204" s="39" t="n">
        <v>0.1</v>
      </c>
      <c r="AK204" s="34">
        <f>IF(AG204="","",AG204*AJ204)</f>
        <v/>
      </c>
      <c r="AL204" s="34">
        <f>IF(OR(AG204="",R204=0),"",MIN(IF(AS204="",9.9E+99,AS204),FLOOR(AK204/R204,1)))</f>
        <v/>
      </c>
      <c r="AM204" s="38">
        <f>IF(AL204="","",AL204*T204)</f>
        <v/>
      </c>
      <c r="AN204" s="36">
        <f>IF(OR(AG204="",R204=0),"",MIN(IF(AS204="",9.9E+99,AS204),AK204/R204))</f>
        <v/>
      </c>
      <c r="AO204" s="38">
        <f>IF(AN204="","",AN204*T204)</f>
        <v/>
      </c>
      <c r="AP204" s="40" t="n"/>
      <c r="AQ204" s="41" t="n"/>
      <c r="AR204" s="41" t="n"/>
      <c r="AS204" s="42" t="n"/>
      <c r="AT204" s="43">
        <f>IF(((S204*pax_cap*load_thin*ROUND(K204*L204*revleg_thin,0))-(((battery/range_nm)*D204*ROUND(K204*L204*revleg_thin,0)*VLOOKUP(B204,country_opex,3,FALSE))+V204+W204+X204+Y204+Z204))&lt;=0,"",VLOOKUP(B204,country_opex,7,FALSE)/((S204*pax_cap*load_thin*ROUND(K204*L204*revleg_thin,0))-(((battery/range_nm)*D204*ROUND(K204*L204*revleg_thin,0)*VLOOKUP(B204,country_opex,3,FALSE))+V204+W204+X204+Y204+Z204)))</f>
        <v/>
      </c>
      <c r="AU204" s="43">
        <f>IF(((S204*pax_cap*load_mid*ROUND(K204*L204*revleg_mid,0))-(((battery/range_nm)*D204*ROUND(K204*L204*revleg_mid,0)*VLOOKUP(B204,country_opex,3,FALSE))+V204+W204+X204+Y204+Z204))&lt;=0,"",VLOOKUP(B204,country_opex,7,FALSE)/((S204*pax_cap*load_mid*ROUND(K204*L204*revleg_mid,0))-(((battery/range_nm)*D204*ROUND(K204*L204*revleg_mid,0)*VLOOKUP(B204,country_opex,3,FALSE))+V204+W204+X204+Y204+Z204)))</f>
        <v/>
      </c>
      <c r="AV204" s="43">
        <f>IF(((S204*pax_cap*load_full*ROUND(K204*L204*revleg_full,0))-(((battery/range_nm)*D204*ROUND(K204*L204*revleg_full,0)*VLOOKUP(B204,country_opex,3,FALSE))+V204+W204+X204+Y204+Z204))&lt;=0,"",VLOOKUP(B204,country_opex,7,FALSE)/((S204*pax_cap*load_full*ROUND(K204*L204*revleg_full,0))-(((battery/range_nm)*D204*ROUND(K204*L204*revleg_full,0)*VLOOKUP(B204,country_opex,3,FALSE))+V204+W204+X204+Y204+Z204)))</f>
        <v/>
      </c>
      <c r="AW204" s="44" t="inlineStr">
        <is>
          <t>Wynn Al Marjan (first UAE gaming resort) opens early 2027: 1,217 rooms + 297 residences. No marine transfer today. T5/low - greenfield.</t>
        </is>
      </c>
      <c r="AX204" s="44" t="inlineStr">
        <is>
          <t>UAE-DEMAND-ANCHORS-2026-06-17.json — sourcing wave: RTA Marine 18M riders 2024; DET 43M room-nights; DCT AD 4.8M hotel visitors; RAKTDA 4.35M guest-nights; Miral Yas 38M visits; Marjan/Skift Wynn projections; SCTDA Sharjah 1.6M.</t>
        </is>
      </c>
    </row>
    <row r="205">
      <c r="A205" s="29" t="inlineStr">
        <is>
          <t>Bolt Uae</t>
        </is>
      </c>
      <c r="B205" s="29" t="inlineStr">
        <is>
          <t>United Arab Emirates</t>
        </is>
      </c>
      <c r="C205" s="30" t="inlineStr">
        <is>
          <t>Dubai Harbour Marina → Marina Mall / Breakwater Marina</t>
        </is>
      </c>
      <c r="D205" s="31" t="n">
        <v>59.8</v>
      </c>
      <c r="E205" s="26" t="n">
        <v>110</v>
      </c>
      <c r="F205" s="32" t="inlineStr">
        <is>
          <t>T5</t>
        </is>
      </c>
      <c r="G205" s="32" t="inlineStr">
        <is>
          <t>low</t>
        </is>
      </c>
      <c r="H205" s="19" t="n">
        <v>1</v>
      </c>
      <c r="I205" s="33">
        <f>60*D205/cruise_kt</f>
        <v/>
      </c>
      <c r="J205" s="33">
        <f>I205+turn_min+dwell_min</f>
        <v/>
      </c>
      <c r="K205" s="34">
        <f>MIN(10,FLOOR(60*service_hr/J205,1))</f>
        <v/>
      </c>
      <c r="L205" s="34">
        <f>ROUND(365*mech_uptime*H205,0)</f>
        <v/>
      </c>
      <c r="M205" s="35">
        <f>mech_uptime</f>
        <v/>
      </c>
      <c r="N205" s="35">
        <f>revleg_sel</f>
        <v/>
      </c>
      <c r="O205" s="34">
        <f>ROUND(K205*L205*revleg_sel,0)</f>
        <v/>
      </c>
      <c r="P205" s="36">
        <f>load_sel</f>
        <v/>
      </c>
      <c r="Q205" s="36">
        <f>pax_cap*P205</f>
        <v/>
      </c>
      <c r="R205" s="34">
        <f>Q205*O205</f>
        <v/>
      </c>
      <c r="S205" s="37">
        <f>E205*discount</f>
        <v/>
      </c>
      <c r="T205" s="38">
        <f>S205*R205</f>
        <v/>
      </c>
      <c r="U205" s="38">
        <f>(battery/range_nm)*D205*O205*VLOOKUP(B205,country_opex,3,FALSE)</f>
        <v/>
      </c>
      <c r="V205" s="38">
        <f>VLOOKUP(B205,country_opex,2,FALSE)*crew_factor</f>
        <v/>
      </c>
      <c r="W205" s="38">
        <f>VLOOKUP(B205,country_opex,5,FALSE)</f>
        <v/>
      </c>
      <c r="X205" s="38">
        <f>maint</f>
        <v/>
      </c>
      <c r="Y205" s="38">
        <f>VLOOKUP(B205,country_opex,7,FALSE)*ins_pct</f>
        <v/>
      </c>
      <c r="Z205" s="38">
        <f>charge_berth</f>
        <v/>
      </c>
      <c r="AA205" s="38">
        <f>U205+V205+W205+X205+Y205+Z205</f>
        <v/>
      </c>
      <c r="AB205" s="38">
        <f>VLOOKUP(B205,country_opex,7,FALSE)/dep_years</f>
        <v/>
      </c>
      <c r="AC205" s="38">
        <f>T205-AA205</f>
        <v/>
      </c>
      <c r="AD205" s="35">
        <f>IF(T205=0,"",AC205/T205)</f>
        <v/>
      </c>
      <c r="AE205" s="36">
        <f>IF(AC205&lt;=0,"",VLOOKUP(B205,country_opex,7,FALSE)/AC205)</f>
        <v/>
      </c>
      <c r="AF205" s="33">
        <f>((D205*O205/diesel_nmpg)*diesel_co2pg-(battery/range_nm)*D205*O205*VLOOKUP(B205,country_opex,4,FALSE))/1000</f>
        <v/>
      </c>
      <c r="AG205" s="31" t="n">
        <v>25000</v>
      </c>
      <c r="AH205" s="32" t="inlineStr">
        <is>
          <t>T2</t>
        </is>
      </c>
      <c r="AI205" s="32" t="inlineStr">
        <is>
          <t>low</t>
        </is>
      </c>
      <c r="AJ205" s="39" t="n">
        <v>0.1</v>
      </c>
      <c r="AK205" s="34">
        <f>IF(AG205="","",AG205*AJ205)</f>
        <v/>
      </c>
      <c r="AL205" s="34">
        <f>IF(OR(AG205="",R205=0),"",MIN(IF(AS205="",9.9E+99,AS205),FLOOR(AK205/R205,1)))</f>
        <v/>
      </c>
      <c r="AM205" s="38">
        <f>IF(AL205="","",AL205*T205)</f>
        <v/>
      </c>
      <c r="AN205" s="36">
        <f>IF(OR(AG205="",R205=0),"",MIN(IF(AS205="",9.9E+99,AS205),AK205/R205))</f>
        <v/>
      </c>
      <c r="AO205" s="38">
        <f>IF(AN205="","",AN205*T205)</f>
        <v/>
      </c>
      <c r="AP205" s="40" t="n"/>
      <c r="AQ205" s="41" t="n"/>
      <c r="AR205" s="41" t="n"/>
      <c r="AS205" s="42" t="n"/>
      <c r="AT205" s="43">
        <f>IF(((S205*pax_cap*load_thin*ROUND(K205*L205*revleg_thin,0))-(((battery/range_nm)*D205*ROUND(K205*L205*revleg_thin,0)*VLOOKUP(B205,country_opex,3,FALSE))+V205+W205+X205+Y205+Z205))&lt;=0,"",VLOOKUP(B205,country_opex,7,FALSE)/((S205*pax_cap*load_thin*ROUND(K205*L205*revleg_thin,0))-(((battery/range_nm)*D205*ROUND(K205*L205*revleg_thin,0)*VLOOKUP(B205,country_opex,3,FALSE))+V205+W205+X205+Y205+Z205)))</f>
        <v/>
      </c>
      <c r="AU205" s="43">
        <f>IF(((S205*pax_cap*load_mid*ROUND(K205*L205*revleg_mid,0))-(((battery/range_nm)*D205*ROUND(K205*L205*revleg_mid,0)*VLOOKUP(B205,country_opex,3,FALSE))+V205+W205+X205+Y205+Z205))&lt;=0,"",VLOOKUP(B205,country_opex,7,FALSE)/((S205*pax_cap*load_mid*ROUND(K205*L205*revleg_mid,0))-(((battery/range_nm)*D205*ROUND(K205*L205*revleg_mid,0)*VLOOKUP(B205,country_opex,3,FALSE))+V205+W205+X205+Y205+Z205)))</f>
        <v/>
      </c>
      <c r="AV205" s="43">
        <f>IF(((S205*pax_cap*load_full*ROUND(K205*L205*revleg_full,0))-(((battery/range_nm)*D205*ROUND(K205*L205*revleg_full,0)*VLOOKUP(B205,country_opex,3,FALSE))+V205+W205+X205+Y205+Z205))&lt;=0,"",VLOOKUP(B205,country_opex,7,FALSE)/((S205*pax_cap*load_full*ROUND(K205*L205*revleg_full,0))-(((battery/range_nm)*D205*ROUND(K205*L205*revleg_full,0)*VLOOKUP(B205,country_opex,3,FALSE))+V205+W205+X205+Y205+Z205)))</f>
        <v/>
      </c>
      <c r="AW205" s="44" t="inlineStr">
        <is>
          <t>No Dubai&lt;-&gt;AD ferry. Whole-yacht charter AED 4,500/hr (8-pax ~$95-150/seat); limo AED 250-350. T5/low - opportunity-to-create.</t>
        </is>
      </c>
      <c r="AX205" s="44" t="inlineStr">
        <is>
          <t>UAE-DEMAND-ANCHORS-2026-06-17.json — sourcing wave: RTA Marine 18M riders 2024; DET 43M room-nights; DCT AD 4.8M hotel visitors; RAKTDA 4.35M guest-nights; Miral Yas 38M visits; Marjan/Skift Wynn projections; SCTDA Sharjah 1.6M.</t>
        </is>
      </c>
    </row>
    <row r="206">
      <c r="A206" s="45" t="inlineStr">
        <is>
          <t>TOTAL / median</t>
        </is>
      </c>
      <c r="T206" s="46">
        <f>SUM(T4:T205)</f>
        <v/>
      </c>
      <c r="AC206" s="46">
        <f>SUM(AC4:AC205)</f>
        <v/>
      </c>
      <c r="AD206" s="47">
        <f>IF(T206=0,"",AC206/T206)</f>
        <v/>
      </c>
      <c r="AL206" s="48">
        <f>SUM(AL4:AL205)</f>
        <v/>
      </c>
      <c r="AM206" s="46">
        <f>SUM(AM4:AM205)</f>
        <v/>
      </c>
    </row>
    <row r="208">
      <c r="A208" s="8" t="inlineStr">
        <is>
          <t>Market fleet build-up — grounded floor (network-sum of raw vessel fractions per market, rounded once; subset slices excluded; legacy per-corridor-floor totals above kept for reference)</t>
        </is>
      </c>
    </row>
    <row r="209">
      <c r="A209" s="24" t="inlineStr">
        <is>
          <t>Market</t>
        </is>
      </c>
      <c r="B209" s="24" t="inlineStr">
        <is>
          <t>Fleet basis</t>
        </is>
      </c>
      <c r="C209" s="24" t="inlineStr">
        <is>
          <t>Raw vessels (sum)</t>
        </is>
      </c>
      <c r="D209" s="24" t="inlineStr">
        <is>
          <t>Fleet (rounded once)</t>
        </is>
      </c>
      <c r="E209" s="24" t="inlineStr">
        <is>
          <t>Market rev/yr (raw sum)</t>
        </is>
      </c>
    </row>
    <row r="210">
      <c r="A210" s="25" t="inlineStr">
        <is>
          <t>Bolt Croatia</t>
        </is>
      </c>
      <c r="B210" s="13" t="inlineStr">
        <is>
          <t>grounded</t>
        </is>
      </c>
      <c r="C210" s="13" t="inlineStr">
        <is>
          <t>—</t>
        </is>
      </c>
      <c r="D210" s="49">
        <f>SUMIFS(AL4:AL205,A4:A205,"Bolt Croatia",AP4:AP205,"=",AQ4:AQ205,"=",AR4:AR205,"=")</f>
        <v/>
      </c>
      <c r="E210" s="50">
        <f>SUMIFS(AM4:AM205,A4:A205,"Bolt Croatia",AP4:AP205,"=",AQ4:AQ205,"=",AR4:AR205,"=")</f>
        <v/>
      </c>
    </row>
    <row r="211">
      <c r="A211" s="25" t="inlineStr">
        <is>
          <t>Bolt Cyprus</t>
        </is>
      </c>
      <c r="B211" s="13" t="inlineStr">
        <is>
          <t>aspirational</t>
        </is>
      </c>
      <c r="C211" s="13" t="inlineStr">
        <is>
          <t>—</t>
        </is>
      </c>
      <c r="D211" s="49">
        <f>SUMIFS(AL4:AL205,A4:A205,"Bolt Cyprus",AP4:AP205,"=",AQ4:AQ205,"=",AR4:AR205,"=")</f>
        <v/>
      </c>
      <c r="E211" s="50">
        <f>SUMIFS(AM4:AM205,A4:A205,"Bolt Cyprus",AP4:AP205,"=",AQ4:AQ205,"=",AR4:AR205,"=")</f>
        <v/>
      </c>
    </row>
    <row r="212">
      <c r="A212" s="25" t="inlineStr">
        <is>
          <t>Bolt Egypt</t>
        </is>
      </c>
      <c r="B212" s="13" t="inlineStr">
        <is>
          <t>aspirational</t>
        </is>
      </c>
      <c r="C212" s="13" t="inlineStr">
        <is>
          <t>—</t>
        </is>
      </c>
      <c r="D212" s="49">
        <f>SUMIFS(AL4:AL205,A4:A205,"Bolt Egypt",AP4:AP205,"=",AQ4:AQ205,"=",AR4:AR205,"=")</f>
        <v/>
      </c>
      <c r="E212" s="50">
        <f>SUMIFS(AM4:AM205,A4:A205,"Bolt Egypt",AP4:AP205,"=",AQ4:AQ205,"=",AR4:AR205,"=")</f>
        <v/>
      </c>
    </row>
    <row r="213">
      <c r="A213" s="25" t="inlineStr">
        <is>
          <t>Bolt Estonia</t>
        </is>
      </c>
      <c r="B213" s="13" t="inlineStr">
        <is>
          <t>aspirational</t>
        </is>
      </c>
      <c r="C213" s="13" t="inlineStr">
        <is>
          <t>—</t>
        </is>
      </c>
      <c r="D213" s="49">
        <f>SUMIFS(AL4:AL205,A4:A205,"Bolt Estonia",AP4:AP205,"=",AQ4:AQ205,"=",AR4:AR205,"=")</f>
        <v/>
      </c>
      <c r="E213" s="50">
        <f>SUMIFS(AM4:AM205,A4:A205,"Bolt Estonia",AP4:AP205,"=",AQ4:AQ205,"=",AR4:AR205,"=")</f>
        <v/>
      </c>
    </row>
    <row r="214">
      <c r="A214" s="25" t="inlineStr">
        <is>
          <t>Bolt Finland</t>
        </is>
      </c>
      <c r="B214" s="13" t="inlineStr">
        <is>
          <t>aspirational</t>
        </is>
      </c>
      <c r="C214" s="13" t="inlineStr">
        <is>
          <t>—</t>
        </is>
      </c>
      <c r="D214" s="49">
        <f>SUMIFS(AL4:AL205,A4:A205,"Bolt Finland",AP4:AP205,"=",AQ4:AQ205,"=",AR4:AR205,"=")</f>
        <v/>
      </c>
      <c r="E214" s="50">
        <f>SUMIFS(AM4:AM205,A4:A205,"Bolt Finland",AP4:AP205,"=",AQ4:AQ205,"=",AR4:AR205,"=")</f>
        <v/>
      </c>
    </row>
    <row r="215">
      <c r="A215" s="25" t="inlineStr">
        <is>
          <t>Bolt France Riviera</t>
        </is>
      </c>
      <c r="B215" s="13" t="inlineStr">
        <is>
          <t>grounded</t>
        </is>
      </c>
      <c r="C215" s="13" t="inlineStr">
        <is>
          <t>—</t>
        </is>
      </c>
      <c r="D215" s="49">
        <f>SUMIFS(AL4:AL205,A4:A205,"Bolt France Riviera",AP4:AP205,"=",AQ4:AQ205,"=",AR4:AR205,"=")</f>
        <v/>
      </c>
      <c r="E215" s="50">
        <f>SUMIFS(AM4:AM205,A4:A205,"Bolt France Riviera",AP4:AP205,"=",AQ4:AQ205,"=",AR4:AR205,"=")</f>
        <v/>
      </c>
    </row>
    <row r="216">
      <c r="A216" s="25" t="inlineStr">
        <is>
          <t>Bolt Greece</t>
        </is>
      </c>
      <c r="B216" s="13" t="inlineStr">
        <is>
          <t>grounded</t>
        </is>
      </c>
      <c r="C216" s="13" t="inlineStr">
        <is>
          <t>—</t>
        </is>
      </c>
      <c r="D216" s="49">
        <f>SUMIFS(AL4:AL205,A4:A205,"Bolt Greece",AP4:AP205,"=",AQ4:AQ205,"=",AR4:AR205,"=")</f>
        <v/>
      </c>
      <c r="E216" s="50">
        <f>SUMIFS(AM4:AM205,A4:A205,"Bolt Greece",AP4:AP205,"=",AQ4:AQ205,"=",AR4:AR205,"=")</f>
        <v/>
      </c>
    </row>
    <row r="217">
      <c r="A217" s="25" t="inlineStr">
        <is>
          <t>Bolt Ireland</t>
        </is>
      </c>
      <c r="B217" s="13" t="inlineStr">
        <is>
          <t>aspirational</t>
        </is>
      </c>
      <c r="C217" s="13" t="inlineStr">
        <is>
          <t>—</t>
        </is>
      </c>
      <c r="D217" s="49">
        <f>SUMIFS(AL4:AL205,A4:A205,"Bolt Ireland",AP4:AP205,"=",AQ4:AQ205,"=",AR4:AR205,"=")</f>
        <v/>
      </c>
      <c r="E217" s="50">
        <f>SUMIFS(AM4:AM205,A4:A205,"Bolt Ireland",AP4:AP205,"=",AQ4:AQ205,"=",AR4:AR205,"=")</f>
        <v/>
      </c>
    </row>
    <row r="218">
      <c r="A218" s="25" t="inlineStr">
        <is>
          <t>Bolt Israel</t>
        </is>
      </c>
      <c r="B218" s="13" t="inlineStr">
        <is>
          <t>aspirational</t>
        </is>
      </c>
      <c r="C218" s="13" t="inlineStr">
        <is>
          <t>—</t>
        </is>
      </c>
      <c r="D218" s="49">
        <f>SUMIFS(AL4:AL205,A4:A205,"Bolt Israel",AP4:AP205,"=",AQ4:AQ205,"=",AR4:AR205,"=")</f>
        <v/>
      </c>
      <c r="E218" s="50">
        <f>SUMIFS(AM4:AM205,A4:A205,"Bolt Israel",AP4:AP205,"=",AQ4:AQ205,"=",AR4:AR205,"=")</f>
        <v/>
      </c>
    </row>
    <row r="219">
      <c r="A219" s="25" t="inlineStr">
        <is>
          <t>Bolt Italy</t>
        </is>
      </c>
      <c r="B219" s="13" t="inlineStr">
        <is>
          <t>grounded</t>
        </is>
      </c>
      <c r="C219" s="13" t="inlineStr">
        <is>
          <t>—</t>
        </is>
      </c>
      <c r="D219" s="49">
        <f>SUMIFS(AL4:AL205,A4:A205,"Bolt Italy",AP4:AP205,"=",AQ4:AQ205,"=",AR4:AR205,"=")</f>
        <v/>
      </c>
      <c r="E219" s="50">
        <f>SUMIFS(AM4:AM205,A4:A205,"Bolt Italy",AP4:AP205,"=",AQ4:AQ205,"=",AR4:AR205,"=")</f>
        <v/>
      </c>
    </row>
    <row r="220">
      <c r="A220" s="25" t="inlineStr">
        <is>
          <t>Bolt Lebanon</t>
        </is>
      </c>
      <c r="B220" s="13" t="inlineStr">
        <is>
          <t>aspirational</t>
        </is>
      </c>
      <c r="C220" s="13" t="inlineStr">
        <is>
          <t>—</t>
        </is>
      </c>
      <c r="D220" s="49">
        <f>SUMIFS(AL4:AL205,A4:A205,"Bolt Lebanon",AP4:AP205,"=",AQ4:AQ205,"=",AR4:AR205,"=")</f>
        <v/>
      </c>
      <c r="E220" s="50">
        <f>SUMIFS(AM4:AM205,A4:A205,"Bolt Lebanon",AP4:AP205,"=",AQ4:AQ205,"=",AR4:AR205,"=")</f>
        <v/>
      </c>
    </row>
    <row r="221">
      <c r="A221" s="25" t="inlineStr">
        <is>
          <t>Bolt Portugal</t>
        </is>
      </c>
      <c r="B221" s="13" t="inlineStr">
        <is>
          <t>grounded</t>
        </is>
      </c>
      <c r="C221" s="13" t="inlineStr">
        <is>
          <t>—</t>
        </is>
      </c>
      <c r="D221" s="49">
        <f>SUMIFS(AL4:AL205,A4:A205,"Bolt Portugal",AP4:AP205,"=",AQ4:AQ205,"=",AR4:AR205,"=")</f>
        <v/>
      </c>
      <c r="E221" s="50">
        <f>SUMIFS(AM4:AM205,A4:A205,"Bolt Portugal",AP4:AP205,"=",AQ4:AQ205,"=",AR4:AR205,"=")</f>
        <v/>
      </c>
    </row>
    <row r="222">
      <c r="A222" s="25" t="inlineStr">
        <is>
          <t>Bolt Qatar</t>
        </is>
      </c>
      <c r="B222" s="13" t="inlineStr">
        <is>
          <t>grounded</t>
        </is>
      </c>
      <c r="C222" s="13" t="inlineStr">
        <is>
          <t>—</t>
        </is>
      </c>
      <c r="D222" s="49">
        <f>SUMIFS(AL4:AL205,A4:A205,"Bolt Qatar",AP4:AP205,"=",AQ4:AQ205,"=",AR4:AR205,"=")</f>
        <v/>
      </c>
      <c r="E222" s="50">
        <f>SUMIFS(AM4:AM205,A4:A205,"Bolt Qatar",AP4:AP205,"=",AQ4:AQ205,"=",AR4:AR205,"=")</f>
        <v/>
      </c>
    </row>
    <row r="223">
      <c r="A223" s="25" t="inlineStr">
        <is>
          <t>Bolt Romania</t>
        </is>
      </c>
      <c r="B223" s="13" t="inlineStr">
        <is>
          <t>aspirational</t>
        </is>
      </c>
      <c r="C223" s="13" t="inlineStr">
        <is>
          <t>—</t>
        </is>
      </c>
      <c r="D223" s="49">
        <f>SUMIFS(AL4:AL205,A4:A205,"Bolt Romania",AP4:AP205,"=",AQ4:AQ205,"=",AR4:AR205,"=")</f>
        <v/>
      </c>
      <c r="E223" s="50">
        <f>SUMIFS(AM4:AM205,A4:A205,"Bolt Romania",AP4:AP205,"=",AQ4:AQ205,"=",AR4:AR205,"=")</f>
        <v/>
      </c>
    </row>
    <row r="224">
      <c r="A224" s="25" t="inlineStr">
        <is>
          <t>Bolt Ksa Commercial</t>
        </is>
      </c>
      <c r="B224" s="13" t="inlineStr">
        <is>
          <t>grounded</t>
        </is>
      </c>
      <c r="C224" s="13" t="inlineStr">
        <is>
          <t>—</t>
        </is>
      </c>
      <c r="D224" s="49">
        <f>SUMIFS(AL4:AL205,A4:A205,"Bolt Ksa Commercial",AP4:AP205,"=",AQ4:AQ205,"=",AR4:AR205,"=")</f>
        <v/>
      </c>
      <c r="E224" s="50">
        <f>SUMIFS(AM4:AM205,A4:A205,"Bolt Ksa Commercial",AP4:AP205,"=",AQ4:AQ205,"=",AR4:AR205,"=")</f>
        <v/>
      </c>
    </row>
    <row r="225">
      <c r="A225" s="25" t="inlineStr">
        <is>
          <t>Bolt Spain</t>
        </is>
      </c>
      <c r="B225" s="13" t="inlineStr">
        <is>
          <t>aspirational</t>
        </is>
      </c>
      <c r="C225" s="13" t="inlineStr">
        <is>
          <t>—</t>
        </is>
      </c>
      <c r="D225" s="49">
        <f>SUMIFS(AL4:AL205,A4:A205,"Bolt Spain",AP4:AP205,"=",AQ4:AQ205,"=",AR4:AR205,"=")</f>
        <v/>
      </c>
      <c r="E225" s="50">
        <f>SUMIFS(AM4:AM205,A4:A205,"Bolt Spain",AP4:AP205,"=",AQ4:AQ205,"=",AR4:AR205,"=")</f>
        <v/>
      </c>
    </row>
    <row r="226">
      <c r="A226" s="25" t="inlineStr">
        <is>
          <t>Bolt Sweden</t>
        </is>
      </c>
      <c r="B226" s="13" t="inlineStr">
        <is>
          <t>aspirational</t>
        </is>
      </c>
      <c r="C226" s="13" t="inlineStr">
        <is>
          <t>—</t>
        </is>
      </c>
      <c r="D226" s="49">
        <f>SUMIFS(AL4:AL205,A4:A205,"Bolt Sweden",AP4:AP205,"=",AQ4:AQ205,"=",AR4:AR205,"=")</f>
        <v/>
      </c>
      <c r="E226" s="50">
        <f>SUMIFS(AM4:AM205,A4:A205,"Bolt Sweden",AP4:AP205,"=",AQ4:AQ205,"=",AR4:AR205,"=")</f>
        <v/>
      </c>
    </row>
    <row r="227">
      <c r="A227" s="25" t="inlineStr">
        <is>
          <t>Bolt Uae</t>
        </is>
      </c>
      <c r="B227" s="13" t="inlineStr">
        <is>
          <t>grounded</t>
        </is>
      </c>
      <c r="C227" s="13" t="inlineStr">
        <is>
          <t>—</t>
        </is>
      </c>
      <c r="D227" s="49">
        <f>SUMIFS(AL4:AL205,A4:A205,"Bolt Uae",AP4:AP205,"=",AQ4:AQ205,"=",AR4:AR205,"=")</f>
        <v/>
      </c>
      <c r="E227" s="50">
        <f>SUMIFS(AM4:AM205,A4:A205,"Bolt Uae",AP4:AP205,"=",AQ4:AQ205,"=",AR4:AR205,"=")</f>
        <v/>
      </c>
    </row>
    <row r="228">
      <c r="A228" s="45" t="inlineStr">
        <is>
          <t>GROUNDED FLOOR (PUBLISHED)</t>
        </is>
      </c>
      <c r="D228" s="48">
        <f>SUM(D210:D227)</f>
        <v/>
      </c>
      <c r="E228" s="46">
        <f>SUM(E210:E227)</f>
        <v/>
      </c>
    </row>
    <row r="229">
      <c r="A229" s="20" t="inlineStr">
        <is>
          <t>ESTIMATED UPSIDE (LB-99 modal-shift / experience-upside tiers; held OUT of grounded floor)</t>
        </is>
      </c>
      <c r="D229" s="51">
        <f>SUMIF(AR4:AR205,"&lt;&gt;",AL4:AL205)</f>
        <v/>
      </c>
      <c r="E229" s="52">
        <f>SUMIF(AR4:AR205,"&lt;&gt;",AM4:AM205)</f>
        <v/>
      </c>
    </row>
    <row r="231">
      <c r="A231" s="53" t="inlineStr">
        <is>
          <t>Held for Quanta-LR (&gt;70nm, roadmap H2 2026+):</t>
        </is>
      </c>
      <c r="C231" s="54" t="inlineStr">
        <is>
          <t>Mykonos → Santorini (Thira) (75nm)</t>
        </is>
      </c>
    </row>
    <row r="232">
      <c r="C232" s="54" t="inlineStr">
        <is>
          <t>Monaco → Portofino (85.0nm)</t>
        </is>
      </c>
    </row>
    <row r="233">
      <c r="C233" s="54" t="inlineStr">
        <is>
          <t>Marina Mall / Breakwater Marina → Sir Bani Yas Cruise Port (93.1nm)</t>
        </is>
      </c>
    </row>
    <row r="234">
      <c r="C234" s="54" t="inlineStr">
        <is>
          <t>Dubai Harbour Marina → Old Doha Port (195.42nm)</t>
        </is>
      </c>
    </row>
    <row r="235">
      <c r="C235" s="54" t="inlineStr">
        <is>
          <t>Marina Mall / Breakwater Marina → Bahrain Financial Harbour Marina (235.44nm)</t>
        </is>
      </c>
    </row>
    <row r="236">
      <c r="C236" s="54" t="inlineStr">
        <is>
          <t>Shura Island hub → AMAALA (Triple Bay) (82.9nm)</t>
        </is>
      </c>
    </row>
    <row r="237">
      <c r="C237" s="54" t="inlineStr">
        <is>
          <t>Jeddah → NEOM (Sindalah) (463.9nm)</t>
        </is>
      </c>
    </row>
    <row r="238">
      <c r="C238" s="54" t="inlineStr">
        <is>
          <t>Jeddah gateway → The Red Sea archipelago (275.5nm)</t>
        </is>
      </c>
    </row>
    <row r="239">
      <c r="C239" s="54" t="inlineStr">
        <is>
          <t>The Red Sea → NEOM (Sindalah) / Jeddah gateway (196.9nm)</t>
        </is>
      </c>
    </row>
    <row r="240">
      <c r="C240" s="54" t="inlineStr">
        <is>
          <t>Tallinn → Stockholm (210nm)</t>
        </is>
      </c>
    </row>
    <row r="241">
      <c r="C241" s="54" t="inlineStr">
        <is>
          <t>Larnaca → Jounieh / Beirut (Lebanon) (115nm)</t>
        </is>
      </c>
    </row>
    <row r="242">
      <c r="C242" s="54" t="inlineStr">
        <is>
          <t>Stockholm (Vartahamnen / Stadsgarden) → Mariehamn (Aland) (75nm)</t>
        </is>
      </c>
    </row>
    <row r="243">
      <c r="C243" s="54" t="inlineStr">
        <is>
          <t>Palma de Mallorca → Ibiza Town (75.0nm)</t>
        </is>
      </c>
    </row>
    <row r="244">
      <c r="C244" s="54" t="inlineStr">
        <is>
          <t>Palma de Mallorca → Maó (Menorca) (100nm)</t>
        </is>
      </c>
    </row>
    <row r="245">
      <c r="C245" s="54" t="inlineStr">
        <is>
          <t>Dénia → Palma de Mallorca (130nm)</t>
        </is>
      </c>
    </row>
    <row r="246">
      <c r="C246" s="54" t="inlineStr">
        <is>
          <t>Barcelona → Palma de Mallorca (115nm)</t>
        </is>
      </c>
    </row>
    <row r="247">
      <c r="C247" s="54" t="inlineStr">
        <is>
          <t>Barcelona → Ibiza Town (Eivissa) (140nm)</t>
        </is>
      </c>
    </row>
    <row r="248">
      <c r="C248" s="54" t="inlineStr">
        <is>
          <t>Helsinki → Stockholm (210nm)</t>
        </is>
      </c>
    </row>
    <row r="249">
      <c r="C249" s="54" t="inlineStr">
        <is>
          <t>Haifa → Limassol (Cyprus) (147.1nm)</t>
        </is>
      </c>
    </row>
    <row r="250">
      <c r="C250" s="54" t="inlineStr">
        <is>
          <t>Beirut / Jounieh → Larnaca (Cyprus) (110.5nm)</t>
        </is>
      </c>
    </row>
    <row r="251">
      <c r="C251" s="54" t="inlineStr">
        <is>
          <t>Doha (Lusail Marina) → Manama (Bahrain Financial Harbour) (94.5nm)</t>
        </is>
      </c>
    </row>
  </sheetData>
  <mergeCells count="2">
    <mergeCell ref="A1:L1"/>
    <mergeCell ref="A208:L208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6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6" customWidth="1" min="4" max="4"/>
    <col width="72" customWidth="1" min="5" max="5"/>
  </cols>
  <sheetData>
    <row r="1">
      <c r="A1" s="8" t="inlineStr">
        <is>
          <t>Market sizing — how the grounded floor builds into SOM → SAM → TAM</t>
        </is>
      </c>
    </row>
    <row r="3">
      <c r="A3" s="9" t="inlineStr">
        <is>
          <t>Growth multipliers (bands: low / MID / high)</t>
        </is>
      </c>
    </row>
    <row r="4">
      <c r="A4" s="10" t="inlineStr">
        <is>
          <t>Multiplier</t>
        </is>
      </c>
      <c r="B4" s="10" t="inlineStr">
        <is>
          <t>Low</t>
        </is>
      </c>
      <c r="C4" s="10" t="inlineStr">
        <is>
          <t>MID</t>
        </is>
      </c>
      <c r="D4" s="10" t="inlineStr">
        <is>
          <t>High</t>
        </is>
      </c>
      <c r="E4" s="10" t="inlineStr">
        <is>
          <t>What it means</t>
        </is>
      </c>
    </row>
    <row r="5">
      <c r="A5" s="25" t="inlineStr">
        <is>
          <t>Induced demand (k)</t>
        </is>
      </c>
      <c r="B5" s="19" t="n">
        <v>1.3</v>
      </c>
      <c r="C5" s="19" t="n">
        <v>1.8</v>
      </c>
      <c r="D5" s="19" t="n">
        <v>2.5</v>
      </c>
      <c r="E5" s="14" t="inlineStr">
        <is>
          <t>Faster/quieter product grows the crossing market beyond today's trips.</t>
        </is>
      </c>
    </row>
    <row r="6">
      <c r="A6" s="25" t="inlineStr">
        <is>
          <t>Mature capture rate (c)</t>
        </is>
      </c>
      <c r="B6" s="39" t="n">
        <v>0.15</v>
      </c>
      <c r="C6" s="39" t="n">
        <v>0.25</v>
      </c>
      <c r="D6" s="39" t="n">
        <v>0.4</v>
      </c>
      <c r="E6" s="14" t="inlineStr">
        <is>
          <t>Navier's corridor share once it is the established premium default (vs 10% floor).</t>
        </is>
      </c>
    </row>
    <row r="7">
      <c r="A7" s="25" t="inlineStr">
        <is>
          <t>Journey GMV multiple (m)</t>
        </is>
      </c>
      <c r="B7" s="19" t="n">
        <v>2</v>
      </c>
      <c r="C7" s="19" t="n">
        <v>3</v>
      </c>
      <c r="D7" s="19" t="n">
        <v>4</v>
      </c>
      <c r="E7" s="14" t="inlineStr">
        <is>
          <t>Whole island-journey wallet (transport+food+stay+experiences) as a multiple of the boat fare.</t>
        </is>
      </c>
    </row>
    <row r="8">
      <c r="A8" s="25" t="inlineStr">
        <is>
          <t>Greenfield network factor (g)</t>
        </is>
      </c>
      <c r="B8" s="19" t="n">
        <v>3.44</v>
      </c>
      <c r="C8" s="19" t="n">
        <v>4.9</v>
      </c>
      <c r="D8" s="19" t="n">
        <v>6.36</v>
      </c>
      <c r="E8" s="14" t="inlineStr">
        <is>
          <t>Width lever: addressable network vs the sourced subset (ID-based census).</t>
        </is>
      </c>
    </row>
    <row r="9">
      <c r="A9" s="25" t="inlineStr">
        <is>
          <t>Platform take rate</t>
        </is>
      </c>
      <c r="C9" s="39" t="n">
        <v>0.18</v>
      </c>
      <c r="E9" s="14" t="inlineStr">
        <is>
          <t>Super-app blended commission on journey GMV (derived line only).</t>
        </is>
      </c>
    </row>
    <row r="11">
      <c r="A11" s="25" t="inlineStr">
        <is>
          <t>SOM capture rate (floor)</t>
        </is>
      </c>
      <c r="C11" s="39" t="n">
        <v>0.1041</v>
      </c>
      <c r="E11" s="14" t="inlineStr">
        <is>
          <t>New-entrant ~10% share of today's pool (= the published floor).</t>
        </is>
      </c>
    </row>
    <row r="13">
      <c r="A13" s="9" t="inlineStr">
        <is>
          <t>The ladder (live off the corridor floor)</t>
        </is>
      </c>
    </row>
    <row r="14">
      <c r="A14" s="10" t="inlineStr">
        <is>
          <t>Rung</t>
        </is>
      </c>
      <c r="B14" s="10" t="inlineStr">
        <is>
          <t>Low</t>
        </is>
      </c>
      <c r="C14" s="10" t="inlineStr">
        <is>
          <t>MID</t>
        </is>
      </c>
      <c r="D14" s="10" t="inlineStr">
        <is>
          <t>High</t>
        </is>
      </c>
      <c r="E14" s="10" t="inlineStr">
        <is>
          <t>Definition</t>
        </is>
      </c>
    </row>
    <row r="15">
      <c r="A15" s="25" t="inlineStr">
        <is>
          <t>SOM floor — Navier transport rev/yr (PUBLISHED)</t>
        </is>
      </c>
      <c r="C15" s="50">
        <f>som_floor_rev</f>
        <v/>
      </c>
      <c r="E15" s="14" t="inlineStr">
        <is>
          <t>Live sum of grounded corridor market-rev (10% capture, today's demand, sourced corridors).</t>
        </is>
      </c>
    </row>
    <row r="16">
      <c r="A16" s="25" t="inlineStr">
        <is>
          <t>M_today — full transport spend on sourced corridors</t>
        </is>
      </c>
      <c r="C16" s="50">
        <f>$C$15/$C$11</f>
        <v/>
      </c>
      <c r="E16" s="14" t="inlineStr">
        <is>
          <t>Anchor = SOM floor ÷ capture rate; recovers the whole crossing pool's premium-transfer spend today.</t>
        </is>
      </c>
    </row>
    <row r="18">
      <c r="A18" s="25" t="inlineStr">
        <is>
          <t>SOM full network (~10% capture, today, +greenfield)</t>
        </is>
      </c>
      <c r="B18" s="50">
        <f>$C$16*$C$11*$B$8</f>
        <v/>
      </c>
      <c r="C18" s="50">
        <f>$C$16*$C$11*$C$8</f>
        <v/>
      </c>
      <c r="D18" s="50">
        <f>$C$16*$C$11*$D$8</f>
        <v/>
      </c>
      <c r="E18" s="14" t="inlineStr">
        <is>
          <t>Floor posture (~10% captive capture, today's demand) extended across the whole mapped network.</t>
        </is>
      </c>
    </row>
    <row r="19">
      <c r="A19" s="25" t="inlineStr">
        <is>
          <t>SAM — sourced corridors only (depth, no greenfield)</t>
        </is>
      </c>
      <c r="B19" s="50">
        <f>$C$16*$B$5*$B$6</f>
        <v/>
      </c>
      <c r="C19" s="50">
        <f>$C$16*$C$5*$C$6</f>
        <v/>
      </c>
      <c r="D19" s="50">
        <f>$C$16*$D$5*$D$6</f>
        <v/>
      </c>
      <c r="E19" s="14" t="inlineStr">
        <is>
          <t>Matured network on the sourced corridors alone: induced demand × mature capture.</t>
        </is>
      </c>
    </row>
    <row r="20">
      <c r="A20" s="25" t="inlineStr">
        <is>
          <t>SAM — Navier transport rev @ full network (HEADLINE)</t>
        </is>
      </c>
      <c r="B20" s="50">
        <f>$C$16*$B$5*$B$6*$B$8</f>
        <v/>
      </c>
      <c r="C20" s="50">
        <f>$C$16*$C$5*$C$6*$C$8</f>
        <v/>
      </c>
      <c r="D20" s="50">
        <f>$C$16*$D$5*$D$6*$D$8</f>
        <v/>
      </c>
      <c r="E20" s="14" t="inlineStr">
        <is>
          <t>Matured across the full addressable network: induced × mature capture × greenfield width.</t>
        </is>
      </c>
    </row>
    <row r="21">
      <c r="A21" s="25" t="inlineStr">
        <is>
          <t>Marine mobility TAM — induced marine-transfer market (LB-110)</t>
        </is>
      </c>
      <c r="B21" s="50">
        <f>$C$16*$B$5*$B$8</f>
        <v/>
      </c>
      <c r="C21" s="50">
        <f>$C$16*$C$5*$C$8</f>
        <v/>
      </c>
      <c r="D21" s="50">
        <f>$C$16*$D$5*$D$8</f>
        <v/>
      </c>
      <c r="E21" s="14" t="inlineStr">
        <is>
          <t>SAM divided by leading-operator capture (= M_today × induced × greenfield). The full inducible water-transfer wallet at network maturity, before any capture constraint.</t>
        </is>
      </c>
    </row>
    <row r="22">
      <c r="A22" s="25" t="inlineStr">
        <is>
          <t>Journey GMV — induced crossing × multiple (was TAM journey GMV)</t>
        </is>
      </c>
      <c r="B22" s="50">
        <f>$C$16*$B$5*$B$7*$B$8</f>
        <v/>
      </c>
      <c r="C22" s="50">
        <f>$C$16*$C$5*$C$7*$C$8</f>
        <v/>
      </c>
      <c r="D22" s="50">
        <f>$C$16*$D$5*$D$7*$D$8</f>
        <v/>
      </c>
      <c r="E22" s="14" t="inlineStr">
        <is>
          <t>Whole-journey spend (transport+food+stay+experiences) across the induced crossing market on the full network. Marine TAM × journey GMV multiple.</t>
        </is>
      </c>
    </row>
    <row r="23">
      <c r="A23" s="25" t="inlineStr">
        <is>
          <t>Journey GMV routed through Navier network</t>
        </is>
      </c>
      <c r="B23" s="50">
        <f>$C$16*$B$5*$B$6*$B$7*$B$8</f>
        <v/>
      </c>
      <c r="C23" s="50">
        <f>$C$16*$C$5*$C$6*$C$7*$C$8</f>
        <v/>
      </c>
      <c r="D23" s="50">
        <f>$C$16*$D$5*$D$6*$D$7*$D$8</f>
        <v/>
      </c>
      <c r="E23" s="14" t="inlineStr">
        <is>
          <t>Journey GMV on Navier-carried trips only.</t>
        </is>
      </c>
    </row>
    <row r="24">
      <c r="A24" s="25" t="inlineStr">
        <is>
          <t>Partner platform revenue on Navier (LB-113 — on-Navier subset, not 18% of full Journey GMV)</t>
        </is>
      </c>
      <c r="B24" s="50">
        <f>$C$16*$B$5*$B$6*$B$7*$B$8*$C$9</f>
        <v/>
      </c>
      <c r="C24" s="50">
        <f>$C$16*$C$5*$C$6*$C$7*$C$8*$C$9</f>
        <v/>
      </c>
      <c r="D24" s="50">
        <f>$C$16*$D$5*$D$6*$D$7*$D$8*$C$9</f>
        <v/>
      </c>
      <c r="E24" s="14" t="inlineStr">
        <is>
          <t>The super-app's own commission — the number a platform partner cares about.</t>
        </is>
      </c>
    </row>
    <row r="26">
      <c r="A26" s="55" t="inlineStr">
        <is>
          <t>Note</t>
        </is>
      </c>
      <c r="B26" s="56" t="inlineStr">
        <is>
          <t>All rungs are one multiplication chain off M_today, which is live off the corridor floor. Change any input (a fare, a multiplier, the scenario) and the whole ladder moves. Bands (low/MID/high) are never single points; greenfield census is per-partner.</t>
        </is>
      </c>
    </row>
  </sheetData>
  <mergeCells count="4">
    <mergeCell ref="B26:E26"/>
    <mergeCell ref="A1:E1"/>
    <mergeCell ref="A13:E13"/>
    <mergeCell ref="A3:E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2026-06-20T04:40:37Z</dcterms:created>
  <dcterms:modified xsi:type="dcterms:W3CDTF">2026-06-20T04:40:38Z</dcterms:modified>
</cp:coreProperties>
</file>