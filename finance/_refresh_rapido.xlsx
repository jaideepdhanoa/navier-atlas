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economics'!$D$104</definedName>
    <definedName name="som_floor_rev">'Corridor economics'!$E$104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Rapido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India</t>
        </is>
      </c>
      <c r="B4" s="26" t="n">
        <v>19000</v>
      </c>
      <c r="C4" s="27" t="n">
        <v>0.08500000000000001</v>
      </c>
      <c r="D4" s="19" t="n">
        <v>0.727</v>
      </c>
      <c r="E4" s="26" t="n">
        <v>10000</v>
      </c>
      <c r="F4" s="19" t="n">
        <v>0.5</v>
      </c>
      <c r="G4" s="26" t="n">
        <v>600000</v>
      </c>
      <c r="H4" s="14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0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Rapido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India Andaman Rapido</t>
        </is>
      </c>
      <c r="B4" s="29" t="inlineStr">
        <is>
          <t>India</t>
        </is>
      </c>
      <c r="C4" s="30" t="inlineStr">
        <is>
          <t>Middle Strait Jetty → Oralkatcha Jetty</t>
        </is>
      </c>
      <c r="D4" s="31" t="n">
        <v>0.7</v>
      </c>
      <c r="E4" s="26" t="n">
        <v>22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5000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handoff/INDIA-ECONOMICS-SIDECAR-V0-2026-06-20.json (andaman)</t>
        </is>
      </c>
      <c r="AY4" s="44" t="inlineStr">
        <is>
          <t>handoff/INDIA-ECONOMICS-SIDECAR-V0-2026-06-20.json (andaman)</t>
        </is>
      </c>
    </row>
    <row r="5">
      <c r="A5" s="29" t="inlineStr">
        <is>
          <t>India Andaman Rapido</t>
        </is>
      </c>
      <c r="B5" s="29" t="inlineStr">
        <is>
          <t>India</t>
        </is>
      </c>
      <c r="C5" s="30" t="inlineStr">
        <is>
          <t>Junglighat Jetty → Port Blair</t>
        </is>
      </c>
      <c r="D5" s="31" t="n">
        <v>0.8</v>
      </c>
      <c r="E5" s="26" t="n">
        <v>22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5000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handoff/INDIA-ECONOMICS-SIDECAR-V0-2026-06-20.json (andaman)</t>
        </is>
      </c>
      <c r="AY5" s="44" t="inlineStr">
        <is>
          <t>handoff/INDIA-ECONOMICS-SIDECAR-V0-2026-06-20.json (andaman)</t>
        </is>
      </c>
    </row>
    <row r="6">
      <c r="A6" s="29" t="inlineStr">
        <is>
          <t>India Kolkata Rapido</t>
        </is>
      </c>
      <c r="B6" s="29" t="inlineStr">
        <is>
          <t>India</t>
        </is>
      </c>
      <c r="C6" s="30" t="inlineStr">
        <is>
          <t>Howrah Ferry Ghat → Fairlie Place Ferry</t>
        </is>
      </c>
      <c r="D6" s="31" t="n">
        <v>0.8</v>
      </c>
      <c r="E6" s="26" t="n">
        <v>18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1600000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 xml:space="preserve">[LB-255 PREMIUM RE-FARE: subsidized comparable $2.5 lifted to premium on-demand floor $18.0] </t>
        </is>
      </c>
      <c r="AY6" s="44" t="n"/>
    </row>
    <row r="7">
      <c r="A7" s="29" t="inlineStr">
        <is>
          <t>India Andaman Rapido</t>
        </is>
      </c>
      <c r="B7" s="29" t="inlineStr">
        <is>
          <t>India</t>
        </is>
      </c>
      <c r="C7" s="30" t="inlineStr">
        <is>
          <t>Marina Park → Aberdeen Jetty</t>
        </is>
      </c>
      <c r="D7" s="31" t="n">
        <v>0.9</v>
      </c>
      <c r="E7" s="26" t="n">
        <v>22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5000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handoff/INDIA-ECONOMICS-SIDECAR-V0-2026-06-20.json (andaman)</t>
        </is>
      </c>
      <c r="AY7" s="44" t="inlineStr">
        <is>
          <t>handoff/INDIA-ECONOMICS-SIDECAR-V0-2026-06-20.json (andaman)</t>
        </is>
      </c>
    </row>
    <row r="8">
      <c r="A8" s="29" t="inlineStr">
        <is>
          <t>India Andaman Rapido</t>
        </is>
      </c>
      <c r="B8" s="29" t="inlineStr">
        <is>
          <t>India</t>
        </is>
      </c>
      <c r="C8" s="30" t="inlineStr">
        <is>
          <t>Marina View Point → Aberdeen Jetty</t>
        </is>
      </c>
      <c r="D8" s="31" t="n">
        <v>0.9</v>
      </c>
      <c r="E8" s="26" t="n">
        <v>22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5000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handoff/INDIA-ECONOMICS-SIDECAR-V0-2026-06-20.json (andaman)</t>
        </is>
      </c>
      <c r="AY8" s="44" t="inlineStr">
        <is>
          <t>handoff/INDIA-ECONOMICS-SIDECAR-V0-2026-06-20.json (andaman)</t>
        </is>
      </c>
    </row>
    <row r="9">
      <c r="A9" s="29" t="inlineStr">
        <is>
          <t>India Kolkata Rapido</t>
        </is>
      </c>
      <c r="B9" s="29" t="inlineStr">
        <is>
          <t>India</t>
        </is>
      </c>
      <c r="C9" s="30" t="inlineStr">
        <is>
          <t>Howrah Ferry Ghat → Millennium Park Jetty</t>
        </is>
      </c>
      <c r="D9" s="31" t="n">
        <v>0.9</v>
      </c>
      <c r="E9" s="26" t="n">
        <v>18</v>
      </c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1600000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 xml:space="preserve">[LB-255 PREMIUM RE-FARE: subsidized comparable $2.5 lifted to premium on-demand floor $18.0] </t>
        </is>
      </c>
      <c r="AY9" s="44" t="n"/>
    </row>
    <row r="10">
      <c r="A10" s="29" t="inlineStr">
        <is>
          <t>India Andaman Rapido</t>
        </is>
      </c>
      <c r="B10" s="29" t="inlineStr">
        <is>
          <t>India</t>
        </is>
      </c>
      <c r="C10" s="30" t="inlineStr">
        <is>
          <t>APARUPA SANDS MARINA → Office Of Assistant Engineer Civil, Andaman Lakshdweep Harbour Work Havelock</t>
        </is>
      </c>
      <c r="D10" s="31" t="n">
        <v>1.2</v>
      </c>
      <c r="E10" s="26" t="n">
        <v>22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5000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handoff/INDIA-ECONOMICS-SIDECAR-V0-2026-06-20.json (andaman)</t>
        </is>
      </c>
      <c r="AY10" s="44" t="inlineStr">
        <is>
          <t>handoff/INDIA-ECONOMICS-SIDECAR-V0-2026-06-20.json (andaman)</t>
        </is>
      </c>
    </row>
    <row r="11">
      <c r="A11" s="29" t="inlineStr">
        <is>
          <t>India Kolkata Rapido</t>
        </is>
      </c>
      <c r="B11" s="29" t="inlineStr">
        <is>
          <t>India</t>
        </is>
      </c>
      <c r="C11" s="30" t="inlineStr">
        <is>
          <t>Dakshineswar Ferry Ghat → Belur Math Ferry Ghat</t>
        </is>
      </c>
      <c r="D11" s="31" t="n">
        <v>1.3</v>
      </c>
      <c r="E11" s="26" t="n">
        <v>18</v>
      </c>
      <c r="F11" s="32" t="n"/>
      <c r="G11" s="32" t="n"/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1600000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 xml:space="preserve">[LB-255 PREMIUM RE-FARE: subsidized comparable $2.5 lifted to premium on-demand floor $18.0] </t>
        </is>
      </c>
      <c r="AY11" s="44" t="n"/>
    </row>
    <row r="12">
      <c r="A12" s="29" t="inlineStr">
        <is>
          <t>India Andaman Rapido</t>
        </is>
      </c>
      <c r="B12" s="29" t="inlineStr">
        <is>
          <t>India</t>
        </is>
      </c>
      <c r="C12" s="30" t="inlineStr">
        <is>
          <t>Marina Park → Marina View Point</t>
        </is>
      </c>
      <c r="D12" s="31" t="n">
        <v>1.4</v>
      </c>
      <c r="E12" s="26" t="n">
        <v>22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5000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handoff/INDIA-ECONOMICS-SIDECAR-V0-2026-06-20.json (andaman)</t>
        </is>
      </c>
      <c r="AY12" s="44" t="inlineStr">
        <is>
          <t>handoff/INDIA-ECONOMICS-SIDECAR-V0-2026-06-20.json (andaman)</t>
        </is>
      </c>
    </row>
    <row r="13">
      <c r="A13" s="29" t="inlineStr">
        <is>
          <t>India Andaman Rapido</t>
        </is>
      </c>
      <c r="B13" s="29" t="inlineStr">
        <is>
          <t>India</t>
        </is>
      </c>
      <c r="C13" s="30" t="inlineStr">
        <is>
          <t>Game Fishing In Andaman | Bite Me Charter | Best Sport fishing in Andaman Islands → Port Blair</t>
        </is>
      </c>
      <c r="D13" s="31" t="n">
        <v>1.5</v>
      </c>
      <c r="E13" s="26" t="n">
        <v>22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5000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inlineStr">
        <is>
          <t>handoff/INDIA-ECONOMICS-SIDECAR-V0-2026-06-20.json (andaman)</t>
        </is>
      </c>
      <c r="AY13" s="44" t="inlineStr">
        <is>
          <t>handoff/INDIA-ECONOMICS-SIDECAR-V0-2026-06-20.json (andaman)</t>
        </is>
      </c>
    </row>
    <row r="14">
      <c r="A14" s="29" t="inlineStr">
        <is>
          <t>India Kolkata Rapido</t>
        </is>
      </c>
      <c r="B14" s="29" t="inlineStr">
        <is>
          <t>India</t>
        </is>
      </c>
      <c r="C14" s="30" t="inlineStr">
        <is>
          <t>Fairlie Place Ferry → Bagbazar Ghat</t>
        </is>
      </c>
      <c r="D14" s="31" t="n">
        <v>1.7</v>
      </c>
      <c r="E14" s="26" t="n">
        <v>18</v>
      </c>
      <c r="F14" s="32" t="n"/>
      <c r="G14" s="32" t="n"/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1600000</v>
      </c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inlineStr">
        <is>
          <t xml:space="preserve">[LB-255 PREMIUM RE-FARE: subsidized comparable $2.5 lifted to premium on-demand floor $18.0] </t>
        </is>
      </c>
      <c r="AY14" s="44" t="n"/>
    </row>
    <row r="15">
      <c r="A15" s="29" t="inlineStr">
        <is>
          <t>India Andaman Rapido</t>
        </is>
      </c>
      <c r="B15" s="29" t="inlineStr">
        <is>
          <t>India</t>
        </is>
      </c>
      <c r="C15" s="30" t="inlineStr">
        <is>
          <t>Fisheries Jetty → BookMyBoat Andaman Ferry Booking</t>
        </is>
      </c>
      <c r="D15" s="31" t="n">
        <v>1.8</v>
      </c>
      <c r="E15" s="26" t="n">
        <v>22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5000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handoff/INDIA-ECONOMICS-SIDECAR-V0-2026-06-20.json (andaman)</t>
        </is>
      </c>
      <c r="AY15" s="44" t="inlineStr">
        <is>
          <t>handoff/INDIA-ECONOMICS-SIDECAR-V0-2026-06-20.json (andaman)</t>
        </is>
      </c>
    </row>
    <row r="16">
      <c r="A16" s="29" t="inlineStr">
        <is>
          <t>India Andaman Rapido</t>
        </is>
      </c>
      <c r="B16" s="29" t="inlineStr">
        <is>
          <t>India</t>
        </is>
      </c>
      <c r="C16" s="30" t="inlineStr">
        <is>
          <t>Fisheries Jetty → Gamefishing Asia</t>
        </is>
      </c>
      <c r="D16" s="31" t="n">
        <v>2</v>
      </c>
      <c r="E16" s="26" t="n">
        <v>22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5000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handoff/INDIA-ECONOMICS-SIDECAR-V0-2026-06-20.json (andaman)</t>
        </is>
      </c>
      <c r="AY16" s="44" t="inlineStr">
        <is>
          <t>handoff/INDIA-ECONOMICS-SIDECAR-V0-2026-06-20.json (andaman)</t>
        </is>
      </c>
    </row>
    <row r="17">
      <c r="A17" s="29" t="inlineStr">
        <is>
          <t>India Andaman Rapido</t>
        </is>
      </c>
      <c r="B17" s="29" t="inlineStr">
        <is>
          <t>India</t>
        </is>
      </c>
      <c r="C17" s="30" t="inlineStr">
        <is>
          <t>Panighat Ferry Jetty → Chatham Harbour</t>
        </is>
      </c>
      <c r="D17" s="31" t="n">
        <v>2</v>
      </c>
      <c r="E17" s="26" t="n">
        <v>22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5000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Grounded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inlineStr">
        <is>
          <t>handoff/INDIA-ECONOMICS-SIDECAR-V0-2026-06-20.json (andaman)</t>
        </is>
      </c>
      <c r="AY17" s="44" t="inlineStr">
        <is>
          <t>handoff/INDIA-ECONOMICS-SIDECAR-V0-2026-06-20.json (andaman)</t>
        </is>
      </c>
    </row>
    <row r="18">
      <c r="A18" s="29" t="inlineStr">
        <is>
          <t>India Goa Rapido</t>
        </is>
      </c>
      <c r="B18" s="29" t="inlineStr">
        <is>
          <t>India</t>
        </is>
      </c>
      <c r="C18" s="30" t="inlineStr">
        <is>
          <t>Panaji Jetty → Goa</t>
        </is>
      </c>
      <c r="D18" s="31" t="n">
        <v>2.1</v>
      </c>
      <c r="E18" s="26" t="n">
        <v>8</v>
      </c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11250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Grounded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handoff/INDIA-ECONOMICS-SIDECAR-V0-2026-06-20.json (goa)</t>
        </is>
      </c>
      <c r="AY18" s="44" t="inlineStr">
        <is>
          <t>handoff/INDIA-ECONOMICS-SIDECAR-V0-2026-06-20.json (goa)</t>
        </is>
      </c>
    </row>
    <row r="19">
      <c r="A19" s="29" t="inlineStr">
        <is>
          <t>India Kerala Rapido</t>
        </is>
      </c>
      <c r="B19" s="29" t="inlineStr">
        <is>
          <t>India</t>
        </is>
      </c>
      <c r="C19" s="30" t="inlineStr">
        <is>
          <t>Kochi International Marina KTDC → Martins Harbour</t>
        </is>
      </c>
      <c r="D19" s="31" t="n">
        <v>2.1</v>
      </c>
      <c r="E19" s="26" t="n">
        <v>18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29166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Grounded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[LB-255 PREMIUM RE-FARE: subsidized comparable $3.5 lifted to premium on-demand floor $18.0] handoff/INDIA-ECONOMICS-SIDECAR-V0-2026-06-20.json (kerala)</t>
        </is>
      </c>
      <c r="AY19" s="44" t="inlineStr">
        <is>
          <t>handoff/INDIA-ECONOMICS-SIDECAR-V0-2026-06-20.json (kerala)</t>
        </is>
      </c>
    </row>
    <row r="20">
      <c r="A20" s="29" t="inlineStr">
        <is>
          <t>India Kerala Rapido</t>
        </is>
      </c>
      <c r="B20" s="29" t="inlineStr">
        <is>
          <t>India</t>
        </is>
      </c>
      <c r="C20" s="30" t="inlineStr">
        <is>
          <t>Marina One, Kochi → Harbour Roof Garden</t>
        </is>
      </c>
      <c r="D20" s="31" t="n">
        <v>2.1</v>
      </c>
      <c r="E20" s="26" t="n">
        <v>18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29166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Grounded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[LB-255 PREMIUM RE-FARE: subsidized comparable $3.5 lifted to premium on-demand floor $18.0] handoff/INDIA-ECONOMICS-SIDECAR-V0-2026-06-20.json (kerala)</t>
        </is>
      </c>
      <c r="AY20" s="44" t="inlineStr">
        <is>
          <t>handoff/INDIA-ECONOMICS-SIDECAR-V0-2026-06-20.json (kerala)</t>
        </is>
      </c>
    </row>
    <row r="21">
      <c r="A21" s="29" t="inlineStr">
        <is>
          <t>India Kerala Rapido</t>
        </is>
      </c>
      <c r="B21" s="29" t="inlineStr">
        <is>
          <t>India</t>
        </is>
      </c>
      <c r="C21" s="30" t="inlineStr">
        <is>
          <t>Water Wolf Speed Boat - Boating Kadamakudy → Ferry Terminal</t>
        </is>
      </c>
      <c r="D21" s="31" t="n">
        <v>2.1</v>
      </c>
      <c r="E21" s="26" t="n">
        <v>18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29166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Grounded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inlineStr">
        <is>
          <t>[LB-255 PREMIUM RE-FARE: subsidized comparable $3.5 lifted to premium on-demand floor $18.0] handoff/INDIA-ECONOMICS-SIDECAR-V0-2026-06-20.json (kerala)</t>
        </is>
      </c>
      <c r="AY21" s="44" t="inlineStr">
        <is>
          <t>handoff/INDIA-ECONOMICS-SIDECAR-V0-2026-06-20.json (kerala)</t>
        </is>
      </c>
    </row>
    <row r="22">
      <c r="A22" s="29" t="inlineStr">
        <is>
          <t>India Andaman Rapido</t>
        </is>
      </c>
      <c r="B22" s="29" t="inlineStr">
        <is>
          <t>India</t>
        </is>
      </c>
      <c r="C22" s="30" t="inlineStr">
        <is>
          <t>Andaman → Game Fishing In Andaman | Bite Me Charter | Best Sport fishing in Andaman Islands</t>
        </is>
      </c>
      <c r="D22" s="31" t="n">
        <v>2.1</v>
      </c>
      <c r="E22" s="26" t="n">
        <v>22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5000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Grounded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inlineStr">
        <is>
          <t>handoff/INDIA-ECONOMICS-SIDECAR-V0-2026-06-20.json (andaman)</t>
        </is>
      </c>
      <c r="AY22" s="44" t="inlineStr">
        <is>
          <t>handoff/INDIA-ECONOMICS-SIDECAR-V0-2026-06-20.json (andaman)</t>
        </is>
      </c>
    </row>
    <row r="23">
      <c r="A23" s="29" t="inlineStr">
        <is>
          <t>India Andaman Rapido</t>
        </is>
      </c>
      <c r="B23" s="29" t="inlineStr">
        <is>
          <t>India</t>
        </is>
      </c>
      <c r="C23" s="30" t="inlineStr">
        <is>
          <t>Game Fishing In Andaman | Bite Me Charter | Best Sport fishing in Andaman Islands → Junglighat Jetty</t>
        </is>
      </c>
      <c r="D23" s="31" t="n">
        <v>2.1</v>
      </c>
      <c r="E23" s="26" t="n">
        <v>22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5000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Grounded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handoff/INDIA-ECONOMICS-SIDECAR-V0-2026-06-20.json (andaman)</t>
        </is>
      </c>
      <c r="AY23" s="44" t="inlineStr">
        <is>
          <t>handoff/INDIA-ECONOMICS-SIDECAR-V0-2026-06-20.json (andaman)</t>
        </is>
      </c>
    </row>
    <row r="24">
      <c r="A24" s="29" t="inlineStr">
        <is>
          <t>India Andaman Rapido</t>
        </is>
      </c>
      <c r="B24" s="29" t="inlineStr">
        <is>
          <t>India</t>
        </is>
      </c>
      <c r="C24" s="30" t="inlineStr">
        <is>
          <t>Andaman → Marina Park</t>
        </is>
      </c>
      <c r="D24" s="31" t="n">
        <v>2.2</v>
      </c>
      <c r="E24" s="26" t="n">
        <v>22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5000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handoff/INDIA-ECONOMICS-SIDECAR-V0-2026-06-20.json (andaman)</t>
        </is>
      </c>
      <c r="AY24" s="44" t="inlineStr">
        <is>
          <t>handoff/INDIA-ECONOMICS-SIDECAR-V0-2026-06-20.json (andaman)</t>
        </is>
      </c>
    </row>
    <row r="25">
      <c r="A25" s="29" t="inlineStr">
        <is>
          <t>India Andaman Rapido</t>
        </is>
      </c>
      <c r="B25" s="29" t="inlineStr">
        <is>
          <t>India</t>
        </is>
      </c>
      <c r="C25" s="30" t="inlineStr">
        <is>
          <t>Panighat Ferry Jetty → Chatham Jetty</t>
        </is>
      </c>
      <c r="D25" s="31" t="n">
        <v>2.2</v>
      </c>
      <c r="E25" s="26" t="n">
        <v>22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5000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Grounded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handoff/INDIA-ECONOMICS-SIDECAR-V0-2026-06-20.json (andaman)</t>
        </is>
      </c>
      <c r="AY25" s="44" t="inlineStr">
        <is>
          <t>handoff/INDIA-ECONOMICS-SIDECAR-V0-2026-06-20.json (andaman)</t>
        </is>
      </c>
    </row>
    <row r="26">
      <c r="A26" s="29" t="inlineStr">
        <is>
          <t>India Goa Rapido</t>
        </is>
      </c>
      <c r="B26" s="29" t="inlineStr">
        <is>
          <t>India</t>
        </is>
      </c>
      <c r="C26" s="30" t="inlineStr">
        <is>
          <t>Chorao Ferry Terminal → Piedade Ferry Terminal</t>
        </is>
      </c>
      <c r="D26" s="31" t="n">
        <v>2.4</v>
      </c>
      <c r="E26" s="26" t="n">
        <v>8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11250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handoff/INDIA-ECONOMICS-SIDECAR-V0-2026-06-20.json (goa)</t>
        </is>
      </c>
      <c r="AY26" s="44" t="inlineStr">
        <is>
          <t>handoff/INDIA-ECONOMICS-SIDECAR-V0-2026-06-20.json (goa)</t>
        </is>
      </c>
    </row>
    <row r="27">
      <c r="A27" s="29" t="inlineStr">
        <is>
          <t>India Andaman Rapido</t>
        </is>
      </c>
      <c r="B27" s="29" t="inlineStr">
        <is>
          <t>India</t>
        </is>
      </c>
      <c r="C27" s="30" t="inlineStr">
        <is>
          <t>Andaman → Fisheries Jetty</t>
        </is>
      </c>
      <c r="D27" s="31" t="n">
        <v>2.4</v>
      </c>
      <c r="E27" s="26" t="n">
        <v>22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5000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Grounded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handoff/INDIA-ECONOMICS-SIDECAR-V0-2026-06-20.json (andaman)</t>
        </is>
      </c>
      <c r="AY27" s="44" t="inlineStr">
        <is>
          <t>handoff/INDIA-ECONOMICS-SIDECAR-V0-2026-06-20.json (andaman)</t>
        </is>
      </c>
    </row>
    <row r="28">
      <c r="A28" s="29" t="inlineStr">
        <is>
          <t>India Andaman Rapido</t>
        </is>
      </c>
      <c r="B28" s="29" t="inlineStr">
        <is>
          <t>India</t>
        </is>
      </c>
      <c r="C28" s="30" t="inlineStr">
        <is>
          <t>Chatham Jetty → Chatham Harbour</t>
        </is>
      </c>
      <c r="D28" s="31" t="n">
        <v>2.4</v>
      </c>
      <c r="E28" s="26" t="n">
        <v>22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5000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Grounded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inlineStr">
        <is>
          <t>handoff/INDIA-ECONOMICS-SIDECAR-V0-2026-06-20.json (andaman)</t>
        </is>
      </c>
      <c r="AY28" s="44" t="inlineStr">
        <is>
          <t>handoff/INDIA-ECONOMICS-SIDECAR-V0-2026-06-20.json (andaman)</t>
        </is>
      </c>
    </row>
    <row r="29">
      <c r="A29" s="29" t="inlineStr">
        <is>
          <t>India Mumbai Rapido</t>
        </is>
      </c>
      <c r="B29" s="29" t="inlineStr">
        <is>
          <t>India</t>
        </is>
      </c>
      <c r="C29" s="30" t="inlineStr">
        <is>
          <t>Bhaucha Dhakka → Cordelia Cruises</t>
        </is>
      </c>
      <c r="D29" s="31" t="n">
        <v>2.5</v>
      </c>
      <c r="E29" s="26" t="n">
        <v>18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5000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[LB-255 PREMIUM RE-FARE: subsidized comparable $5.5 lifted to premium on-demand floor $18.0] handoff/INDIA-ECONOMICS-SIDECAR-V0-2026-06-20.json (mumbai)</t>
        </is>
      </c>
      <c r="AY29" s="44" t="inlineStr">
        <is>
          <t>handoff/INDIA-ECONOMICS-SIDECAR-V0-2026-06-20.json (mumbai)</t>
        </is>
      </c>
    </row>
    <row r="30">
      <c r="A30" s="29" t="inlineStr">
        <is>
          <t>India Mumbai Rapido</t>
        </is>
      </c>
      <c r="B30" s="29" t="inlineStr">
        <is>
          <t>India</t>
        </is>
      </c>
      <c r="C30" s="30" t="inlineStr">
        <is>
          <t>Bhaucha Dhakka Ferry Boat Service → Cordelia Cruises</t>
        </is>
      </c>
      <c r="D30" s="31" t="n">
        <v>2.5</v>
      </c>
      <c r="E30" s="26" t="n">
        <v>18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5000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IF(OR(AG30="",R30=0),"",MIN(IF(AT30="",9.9E+99,AT30),FLOOR(AK30/R30,1)))</f>
        <v/>
      </c>
      <c r="AM30" s="38">
        <f>IF(AL30="","",AL30*T30)</f>
        <v/>
      </c>
      <c r="AN30" s="36">
        <f>IF(OR(AG30="",R30=0),"",MIN(IF(AT30="",9.9E+99,AT30),AK30/R30))</f>
        <v/>
      </c>
      <c r="AO30" s="38">
        <f>IF(AN30="","",AN30*T30)</f>
        <v/>
      </c>
      <c r="AP30" s="40" t="n"/>
      <c r="AQ30" s="32" t="inlineStr">
        <is>
          <t>Grounded</t>
        </is>
      </c>
      <c r="AR30" s="41" t="n"/>
      <c r="AS30" s="41" t="n"/>
      <c r="AT30" s="42" t="n"/>
      <c r="AU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V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W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X30" s="44" t="inlineStr">
        <is>
          <t>[LB-255 PREMIUM RE-FARE: subsidized comparable $5.5 lifted to premium on-demand floor $18.0] handoff/INDIA-ECONOMICS-SIDECAR-V0-2026-06-20.json (mumbai)</t>
        </is>
      </c>
      <c r="AY30" s="44" t="inlineStr">
        <is>
          <t>handoff/INDIA-ECONOMICS-SIDECAR-V0-2026-06-20.json (mumbai)</t>
        </is>
      </c>
    </row>
    <row r="31">
      <c r="A31" s="29" t="inlineStr">
        <is>
          <t>India Andaman Rapido</t>
        </is>
      </c>
      <c r="B31" s="29" t="inlineStr">
        <is>
          <t>India</t>
        </is>
      </c>
      <c r="C31" s="30" t="inlineStr">
        <is>
          <t>Gamefishing Asia → Haddo Jetty</t>
        </is>
      </c>
      <c r="D31" s="31" t="n">
        <v>2.5</v>
      </c>
      <c r="E31" s="26" t="n">
        <v>22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5000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IF(OR(AG31="",R31=0),"",MIN(IF(AT31="",9.9E+99,AT31),FLOOR(AK31/R31,1)))</f>
        <v/>
      </c>
      <c r="AM31" s="38">
        <f>IF(AL31="","",AL31*T31)</f>
        <v/>
      </c>
      <c r="AN31" s="36">
        <f>IF(OR(AG31="",R31=0),"",MIN(IF(AT31="",9.9E+99,AT31),AK31/R31))</f>
        <v/>
      </c>
      <c r="AO31" s="38">
        <f>IF(AN31="","",AN31*T31)</f>
        <v/>
      </c>
      <c r="AP31" s="40" t="n"/>
      <c r="AQ31" s="32" t="inlineStr">
        <is>
          <t>Grounded</t>
        </is>
      </c>
      <c r="AR31" s="41" t="n"/>
      <c r="AS31" s="41" t="n"/>
      <c r="AT31" s="42" t="n"/>
      <c r="AU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V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W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X31" s="44" t="inlineStr">
        <is>
          <t>handoff/INDIA-ECONOMICS-SIDECAR-V0-2026-06-20.json (andaman)</t>
        </is>
      </c>
      <c r="AY31" s="44" t="inlineStr">
        <is>
          <t>handoff/INDIA-ECONOMICS-SIDECAR-V0-2026-06-20.json (andaman)</t>
        </is>
      </c>
    </row>
    <row r="32">
      <c r="A32" s="29" t="inlineStr">
        <is>
          <t>India Andaman Rapido</t>
        </is>
      </c>
      <c r="B32" s="29" t="inlineStr">
        <is>
          <t>India</t>
        </is>
      </c>
      <c r="C32" s="30" t="inlineStr">
        <is>
          <t>Haddo Jetty → Chatham Harbour</t>
        </is>
      </c>
      <c r="D32" s="31" t="n">
        <v>2.5</v>
      </c>
      <c r="E32" s="26" t="n">
        <v>22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5000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IF(OR(AG32="",R32=0),"",MIN(IF(AT32="",9.9E+99,AT32),FLOOR(AK32/R32,1)))</f>
        <v/>
      </c>
      <c r="AM32" s="38">
        <f>IF(AL32="","",AL32*T32)</f>
        <v/>
      </c>
      <c r="AN32" s="36">
        <f>IF(OR(AG32="",R32=0),"",MIN(IF(AT32="",9.9E+99,AT32),AK32/R32))</f>
        <v/>
      </c>
      <c r="AO32" s="38">
        <f>IF(AN32="","",AN32*T32)</f>
        <v/>
      </c>
      <c r="AP32" s="40" t="n"/>
      <c r="AQ32" s="32" t="inlineStr">
        <is>
          <t>Grounded</t>
        </is>
      </c>
      <c r="AR32" s="41" t="n"/>
      <c r="AS32" s="41" t="n"/>
      <c r="AT32" s="42" t="n"/>
      <c r="AU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V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W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X32" s="44" t="inlineStr">
        <is>
          <t>handoff/INDIA-ECONOMICS-SIDECAR-V0-2026-06-20.json (andaman)</t>
        </is>
      </c>
      <c r="AY32" s="44" t="inlineStr">
        <is>
          <t>handoff/INDIA-ECONOMICS-SIDECAR-V0-2026-06-20.json (andaman)</t>
        </is>
      </c>
    </row>
    <row r="33">
      <c r="A33" s="29" t="inlineStr">
        <is>
          <t>India Mumbai Rapido</t>
        </is>
      </c>
      <c r="B33" s="29" t="inlineStr">
        <is>
          <t>India</t>
        </is>
      </c>
      <c r="C33" s="30" t="inlineStr">
        <is>
          <t>Battle Harbour Design Studio → Cordelia Cruises</t>
        </is>
      </c>
      <c r="D33" s="31" t="n">
        <v>2.6</v>
      </c>
      <c r="E33" s="26" t="n">
        <v>18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5000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IF(OR(AG33="",R33=0),"",MIN(IF(AT33="",9.9E+99,AT33),FLOOR(AK33/R33,1)))</f>
        <v/>
      </c>
      <c r="AM33" s="38">
        <f>IF(AL33="","",AL33*T33)</f>
        <v/>
      </c>
      <c r="AN33" s="36">
        <f>IF(OR(AG33="",R33=0),"",MIN(IF(AT33="",9.9E+99,AT33),AK33/R33))</f>
        <v/>
      </c>
      <c r="AO33" s="38">
        <f>IF(AN33="","",AN33*T33)</f>
        <v/>
      </c>
      <c r="AP33" s="40" t="n"/>
      <c r="AQ33" s="32" t="inlineStr">
        <is>
          <t>Grounded</t>
        </is>
      </c>
      <c r="AR33" s="41" t="n"/>
      <c r="AS33" s="41" t="n"/>
      <c r="AT33" s="42" t="n"/>
      <c r="AU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V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W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X33" s="44" t="inlineStr">
        <is>
          <t>[LB-255 PREMIUM RE-FARE: subsidized comparable $5.5 lifted to premium on-demand floor $18.0] handoff/INDIA-ECONOMICS-SIDECAR-V0-2026-06-20.json (mumbai)</t>
        </is>
      </c>
      <c r="AY33" s="44" t="inlineStr">
        <is>
          <t>handoff/INDIA-ECONOMICS-SIDECAR-V0-2026-06-20.json (mumbai)</t>
        </is>
      </c>
    </row>
    <row r="34">
      <c r="A34" s="29" t="inlineStr">
        <is>
          <t>India Mumbai Rapido</t>
        </is>
      </c>
      <c r="B34" s="29" t="inlineStr">
        <is>
          <t>India</t>
        </is>
      </c>
      <c r="C34" s="30" t="inlineStr">
        <is>
          <t>Bombay Harbour → Mora</t>
        </is>
      </c>
      <c r="D34" s="31" t="n">
        <v>2.6</v>
      </c>
      <c r="E34" s="26" t="n">
        <v>18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5000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IF(OR(AG34="",R34=0),"",MIN(IF(AT34="",9.9E+99,AT34),FLOOR(AK34/R34,1)))</f>
        <v/>
      </c>
      <c r="AM34" s="38">
        <f>IF(AL34="","",AL34*T34)</f>
        <v/>
      </c>
      <c r="AN34" s="36">
        <f>IF(OR(AG34="",R34=0),"",MIN(IF(AT34="",9.9E+99,AT34),AK34/R34))</f>
        <v/>
      </c>
      <c r="AO34" s="38">
        <f>IF(AN34="","",AN34*T34)</f>
        <v/>
      </c>
      <c r="AP34" s="40" t="n"/>
      <c r="AQ34" s="32" t="inlineStr">
        <is>
          <t>Grounded</t>
        </is>
      </c>
      <c r="AR34" s="41" t="n"/>
      <c r="AS34" s="41" t="n"/>
      <c r="AT34" s="42" t="n"/>
      <c r="AU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V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W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X34" s="44" t="inlineStr">
        <is>
          <t>[LB-255 PREMIUM RE-FARE: subsidized comparable $5.5 lifted to premium on-demand floor $18.0] handoff/INDIA-ECONOMICS-SIDECAR-V0-2026-06-20.json (mumbai)</t>
        </is>
      </c>
      <c r="AY34" s="44" t="inlineStr">
        <is>
          <t>handoff/INDIA-ECONOMICS-SIDECAR-V0-2026-06-20.json (mumbai)</t>
        </is>
      </c>
    </row>
    <row r="35">
      <c r="A35" s="29" t="inlineStr">
        <is>
          <t>India Kerala Rapido</t>
        </is>
      </c>
      <c r="B35" s="29" t="inlineStr">
        <is>
          <t>India</t>
        </is>
      </c>
      <c r="C35" s="30" t="inlineStr">
        <is>
          <t>Palette MG Road Ernakulam formerly Harbour View Residency → BLUEMARINE Backwaters</t>
        </is>
      </c>
      <c r="D35" s="31" t="n">
        <v>2.6</v>
      </c>
      <c r="E35" s="26" t="n">
        <v>18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29166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IF(OR(AG35="",R35=0),"",MIN(IF(AT35="",9.9E+99,AT35),FLOOR(AK35/R35,1)))</f>
        <v/>
      </c>
      <c r="AM35" s="38">
        <f>IF(AL35="","",AL35*T35)</f>
        <v/>
      </c>
      <c r="AN35" s="36">
        <f>IF(OR(AG35="",R35=0),"",MIN(IF(AT35="",9.9E+99,AT35),AK35/R35))</f>
        <v/>
      </c>
      <c r="AO35" s="38">
        <f>IF(AN35="","",AN35*T35)</f>
        <v/>
      </c>
      <c r="AP35" s="40" t="n"/>
      <c r="AQ35" s="32" t="inlineStr">
        <is>
          <t>Grounded</t>
        </is>
      </c>
      <c r="AR35" s="41" t="n"/>
      <c r="AS35" s="41" t="n"/>
      <c r="AT35" s="42" t="n"/>
      <c r="AU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V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W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X35" s="44" t="inlineStr">
        <is>
          <t>[LB-255 PREMIUM RE-FARE: subsidized comparable $3.5 lifted to premium on-demand floor $18.0] handoff/INDIA-ECONOMICS-SIDECAR-V0-2026-06-20.json (kerala)</t>
        </is>
      </c>
      <c r="AY35" s="44" t="inlineStr">
        <is>
          <t>handoff/INDIA-ECONOMICS-SIDECAR-V0-2026-06-20.json (kerala)</t>
        </is>
      </c>
    </row>
    <row r="36">
      <c r="A36" s="29" t="inlineStr">
        <is>
          <t>India Andaman Rapido</t>
        </is>
      </c>
      <c r="B36" s="29" t="inlineStr">
        <is>
          <t>India</t>
        </is>
      </c>
      <c r="C36" s="30" t="inlineStr">
        <is>
          <t>Haddo Jetty → Chatham Jetty</t>
        </is>
      </c>
      <c r="D36" s="31" t="n">
        <v>2.6</v>
      </c>
      <c r="E36" s="26" t="n">
        <v>22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5000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IF(OR(AG36="",R36=0),"",MIN(IF(AT36="",9.9E+99,AT36),FLOOR(AK36/R36,1)))</f>
        <v/>
      </c>
      <c r="AM36" s="38">
        <f>IF(AL36="","",AL36*T36)</f>
        <v/>
      </c>
      <c r="AN36" s="36">
        <f>IF(OR(AG36="",R36=0),"",MIN(IF(AT36="",9.9E+99,AT36),AK36/R36))</f>
        <v/>
      </c>
      <c r="AO36" s="38">
        <f>IF(AN36="","",AN36*T36)</f>
        <v/>
      </c>
      <c r="AP36" s="40" t="n"/>
      <c r="AQ36" s="32" t="inlineStr">
        <is>
          <t>Grounded</t>
        </is>
      </c>
      <c r="AR36" s="41" t="n"/>
      <c r="AS36" s="41" t="n"/>
      <c r="AT36" s="42" t="n"/>
      <c r="AU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V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W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X36" s="44" t="inlineStr">
        <is>
          <t>handoff/INDIA-ECONOMICS-SIDECAR-V0-2026-06-20.json (andaman)</t>
        </is>
      </c>
      <c r="AY36" s="44" t="inlineStr">
        <is>
          <t>handoff/INDIA-ECONOMICS-SIDECAR-V0-2026-06-20.json (andaman)</t>
        </is>
      </c>
    </row>
    <row r="37">
      <c r="A37" s="29" t="inlineStr">
        <is>
          <t>India Mumbai Rapido</t>
        </is>
      </c>
      <c r="B37" s="29" t="inlineStr">
        <is>
          <t>India</t>
        </is>
      </c>
      <c r="C37" s="30" t="inlineStr">
        <is>
          <t>Bhaucha Dhakka Ferry Boat Service → Bombay Harbour</t>
        </is>
      </c>
      <c r="D37" s="31" t="n">
        <v>2.7</v>
      </c>
      <c r="E37" s="26" t="n">
        <v>18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5000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IF(OR(AG37="",R37=0),"",MIN(IF(AT37="",9.9E+99,AT37),FLOOR(AK37/R37,1)))</f>
        <v/>
      </c>
      <c r="AM37" s="38">
        <f>IF(AL37="","",AL37*T37)</f>
        <v/>
      </c>
      <c r="AN37" s="36">
        <f>IF(OR(AG37="",R37=0),"",MIN(IF(AT37="",9.9E+99,AT37),AK37/R37))</f>
        <v/>
      </c>
      <c r="AO37" s="38">
        <f>IF(AN37="","",AN37*T37)</f>
        <v/>
      </c>
      <c r="AP37" s="40" t="n"/>
      <c r="AQ37" s="32" t="inlineStr">
        <is>
          <t>Grounded</t>
        </is>
      </c>
      <c r="AR37" s="41" t="n"/>
      <c r="AS37" s="41" t="n"/>
      <c r="AT37" s="42" t="n"/>
      <c r="AU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V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W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X37" s="44" t="inlineStr">
        <is>
          <t>[LB-255 PREMIUM RE-FARE: subsidized comparable $5.5 lifted to premium on-demand floor $18.0] handoff/INDIA-ECONOMICS-SIDECAR-V0-2026-06-20.json (mumbai)</t>
        </is>
      </c>
      <c r="AY37" s="44" t="inlineStr">
        <is>
          <t>handoff/INDIA-ECONOMICS-SIDECAR-V0-2026-06-20.json (mumbai)</t>
        </is>
      </c>
    </row>
    <row r="38">
      <c r="A38" s="29" t="inlineStr">
        <is>
          <t>India Goa Rapido</t>
        </is>
      </c>
      <c r="B38" s="29" t="inlineStr">
        <is>
          <t>India</t>
        </is>
      </c>
      <c r="C38" s="30" t="inlineStr">
        <is>
          <t>Chorao Ferry Terminal → Pomburpa Ferry Terminal</t>
        </is>
      </c>
      <c r="D38" s="31" t="n">
        <v>2.7</v>
      </c>
      <c r="E38" s="26" t="n">
        <v>8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11250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IF(OR(AG38="",R38=0),"",MIN(IF(AT38="",9.9E+99,AT38),FLOOR(AK38/R38,1)))</f>
        <v/>
      </c>
      <c r="AM38" s="38">
        <f>IF(AL38="","",AL38*T38)</f>
        <v/>
      </c>
      <c r="AN38" s="36">
        <f>IF(OR(AG38="",R38=0),"",MIN(IF(AT38="",9.9E+99,AT38),AK38/R38))</f>
        <v/>
      </c>
      <c r="AO38" s="38">
        <f>IF(AN38="","",AN38*T38)</f>
        <v/>
      </c>
      <c r="AP38" s="40" t="n"/>
      <c r="AQ38" s="32" t="inlineStr">
        <is>
          <t>Grounded</t>
        </is>
      </c>
      <c r="AR38" s="41" t="n"/>
      <c r="AS38" s="41" t="n"/>
      <c r="AT38" s="42" t="n"/>
      <c r="AU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V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W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X38" s="44" t="inlineStr">
        <is>
          <t>handoff/INDIA-ECONOMICS-SIDECAR-V0-2026-06-20.json (goa)</t>
        </is>
      </c>
      <c r="AY38" s="44" t="inlineStr">
        <is>
          <t>handoff/INDIA-ECONOMICS-SIDECAR-V0-2026-06-20.json (goa)</t>
        </is>
      </c>
    </row>
    <row r="39">
      <c r="A39" s="29" t="inlineStr">
        <is>
          <t>India Goa Rapido</t>
        </is>
      </c>
      <c r="B39" s="29" t="inlineStr">
        <is>
          <t>India</t>
        </is>
      </c>
      <c r="C39" s="30" t="inlineStr">
        <is>
          <t>Goveia Marina → Camurlim Ferry Terminal</t>
        </is>
      </c>
      <c r="D39" s="31" t="n">
        <v>2.7</v>
      </c>
      <c r="E39" s="26" t="n">
        <v>8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11250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IF(OR(AG39="",R39=0),"",MIN(IF(AT39="",9.9E+99,AT39),FLOOR(AK39/R39,1)))</f>
        <v/>
      </c>
      <c r="AM39" s="38">
        <f>IF(AL39="","",AL39*T39)</f>
        <v/>
      </c>
      <c r="AN39" s="36">
        <f>IF(OR(AG39="",R39=0),"",MIN(IF(AT39="",9.9E+99,AT39),AK39/R39))</f>
        <v/>
      </c>
      <c r="AO39" s="38">
        <f>IF(AN39="","",AN39*T39)</f>
        <v/>
      </c>
      <c r="AP39" s="40" t="n"/>
      <c r="AQ39" s="32" t="inlineStr">
        <is>
          <t>Grounded</t>
        </is>
      </c>
      <c r="AR39" s="41" t="n"/>
      <c r="AS39" s="41" t="n"/>
      <c r="AT39" s="42" t="n"/>
      <c r="AU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V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W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X39" s="44" t="inlineStr">
        <is>
          <t>handoff/INDIA-ECONOMICS-SIDECAR-V0-2026-06-20.json (goa)</t>
        </is>
      </c>
      <c r="AY39" s="44" t="inlineStr">
        <is>
          <t>handoff/INDIA-ECONOMICS-SIDECAR-V0-2026-06-20.json (goa)</t>
        </is>
      </c>
    </row>
    <row r="40">
      <c r="A40" s="29" t="inlineStr">
        <is>
          <t>India Kerala Rapido</t>
        </is>
      </c>
      <c r="B40" s="29" t="inlineStr">
        <is>
          <t>India</t>
        </is>
      </c>
      <c r="C40" s="30" t="inlineStr">
        <is>
          <t>BLUEMARINE Backwaters → Sailing Club House</t>
        </is>
      </c>
      <c r="D40" s="31" t="n">
        <v>2.7</v>
      </c>
      <c r="E40" s="26" t="n">
        <v>18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29166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IF(OR(AG40="",R40=0),"",MIN(IF(AT40="",9.9E+99,AT40),FLOOR(AK40/R40,1)))</f>
        <v/>
      </c>
      <c r="AM40" s="38">
        <f>IF(AL40="","",AL40*T40)</f>
        <v/>
      </c>
      <c r="AN40" s="36">
        <f>IF(OR(AG40="",R40=0),"",MIN(IF(AT40="",9.9E+99,AT40),AK40/R40))</f>
        <v/>
      </c>
      <c r="AO40" s="38">
        <f>IF(AN40="","",AN40*T40)</f>
        <v/>
      </c>
      <c r="AP40" s="40" t="n"/>
      <c r="AQ40" s="32" t="inlineStr">
        <is>
          <t>Grounded</t>
        </is>
      </c>
      <c r="AR40" s="41" t="n"/>
      <c r="AS40" s="41" t="n"/>
      <c r="AT40" s="42" t="n"/>
      <c r="AU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V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W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X40" s="44" t="inlineStr">
        <is>
          <t>[LB-255 PREMIUM RE-FARE: subsidized comparable $3.5 lifted to premium on-demand floor $18.0] handoff/INDIA-ECONOMICS-SIDECAR-V0-2026-06-20.json (kerala)</t>
        </is>
      </c>
      <c r="AY40" s="44" t="inlineStr">
        <is>
          <t>handoff/INDIA-ECONOMICS-SIDECAR-V0-2026-06-20.json (kerala)</t>
        </is>
      </c>
    </row>
    <row r="41">
      <c r="A41" s="29" t="inlineStr">
        <is>
          <t>India Andaman Rapido</t>
        </is>
      </c>
      <c r="B41" s="29" t="inlineStr">
        <is>
          <t>India</t>
        </is>
      </c>
      <c r="C41" s="30" t="inlineStr">
        <is>
          <t>Gamefishing Asia → Chatham Jetty</t>
        </is>
      </c>
      <c r="D41" s="31" t="n">
        <v>2.7</v>
      </c>
      <c r="E41" s="26" t="n">
        <v>22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5000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IF(OR(AG41="",R41=0),"",MIN(IF(AT41="",9.9E+99,AT41),FLOOR(AK41/R41,1)))</f>
        <v/>
      </c>
      <c r="AM41" s="38">
        <f>IF(AL41="","",AL41*T41)</f>
        <v/>
      </c>
      <c r="AN41" s="36">
        <f>IF(OR(AG41="",R41=0),"",MIN(IF(AT41="",9.9E+99,AT41),AK41/R41))</f>
        <v/>
      </c>
      <c r="AO41" s="38">
        <f>IF(AN41="","",AN41*T41)</f>
        <v/>
      </c>
      <c r="AP41" s="40" t="n"/>
      <c r="AQ41" s="32" t="inlineStr">
        <is>
          <t>Grounded</t>
        </is>
      </c>
      <c r="AR41" s="41" t="n"/>
      <c r="AS41" s="41" t="n"/>
      <c r="AT41" s="42" t="n"/>
      <c r="AU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V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W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X41" s="44" t="inlineStr">
        <is>
          <t>handoff/INDIA-ECONOMICS-SIDECAR-V0-2026-06-20.json (andaman)</t>
        </is>
      </c>
      <c r="AY41" s="44" t="inlineStr">
        <is>
          <t>handoff/INDIA-ECONOMICS-SIDECAR-V0-2026-06-20.json (andaman)</t>
        </is>
      </c>
    </row>
    <row r="42">
      <c r="A42" s="29" t="inlineStr">
        <is>
          <t>India Mumbai Rapido</t>
        </is>
      </c>
      <c r="B42" s="29" t="inlineStr">
        <is>
          <t>India</t>
        </is>
      </c>
      <c r="C42" s="30" t="inlineStr">
        <is>
          <t>Bhaucha Dhakka → Bombay Harbour</t>
        </is>
      </c>
      <c r="D42" s="31" t="n">
        <v>2.8</v>
      </c>
      <c r="E42" s="26" t="n">
        <v>18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5000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IF(OR(AG42="",R42=0),"",MIN(IF(AT42="",9.9E+99,AT42),FLOOR(AK42/R42,1)))</f>
        <v/>
      </c>
      <c r="AM42" s="38">
        <f>IF(AL42="","",AL42*T42)</f>
        <v/>
      </c>
      <c r="AN42" s="36">
        <f>IF(OR(AG42="",R42=0),"",MIN(IF(AT42="",9.9E+99,AT42),AK42/R42))</f>
        <v/>
      </c>
      <c r="AO42" s="38">
        <f>IF(AN42="","",AN42*T42)</f>
        <v/>
      </c>
      <c r="AP42" s="40" t="n"/>
      <c r="AQ42" s="32" t="inlineStr">
        <is>
          <t>Grounded</t>
        </is>
      </c>
      <c r="AR42" s="41" t="n"/>
      <c r="AS42" s="41" t="n"/>
      <c r="AT42" s="42" t="n"/>
      <c r="AU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V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W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X42" s="44" t="inlineStr">
        <is>
          <t>[LB-255 PREMIUM RE-FARE: subsidized comparable $5.5 lifted to premium on-demand floor $18.0] handoff/INDIA-ECONOMICS-SIDECAR-V0-2026-06-20.json (mumbai)</t>
        </is>
      </c>
      <c r="AY42" s="44" t="inlineStr">
        <is>
          <t>handoff/INDIA-ECONOMICS-SIDECAR-V0-2026-06-20.json (mumbai)</t>
        </is>
      </c>
    </row>
    <row r="43">
      <c r="A43" s="29" t="inlineStr">
        <is>
          <t>India Goa Rapido</t>
        </is>
      </c>
      <c r="B43" s="29" t="inlineStr">
        <is>
          <t>India</t>
        </is>
      </c>
      <c r="C43" s="30" t="inlineStr">
        <is>
          <t>Goveia Marina → Tuem Ferry Terminal</t>
        </is>
      </c>
      <c r="D43" s="31" t="n">
        <v>2.8</v>
      </c>
      <c r="E43" s="26" t="n">
        <v>8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11250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IF(OR(AG43="",R43=0),"",MIN(IF(AT43="",9.9E+99,AT43),FLOOR(AK43/R43,1)))</f>
        <v/>
      </c>
      <c r="AM43" s="38">
        <f>IF(AL43="","",AL43*T43)</f>
        <v/>
      </c>
      <c r="AN43" s="36">
        <f>IF(OR(AG43="",R43=0),"",MIN(IF(AT43="",9.9E+99,AT43),AK43/R43))</f>
        <v/>
      </c>
      <c r="AO43" s="38">
        <f>IF(AN43="","",AN43*T43)</f>
        <v/>
      </c>
      <c r="AP43" s="40" t="n"/>
      <c r="AQ43" s="32" t="inlineStr">
        <is>
          <t>Grounded</t>
        </is>
      </c>
      <c r="AR43" s="41" t="n"/>
      <c r="AS43" s="41" t="n"/>
      <c r="AT43" s="42" t="n"/>
      <c r="AU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V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W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X43" s="44" t="inlineStr">
        <is>
          <t>handoff/INDIA-ECONOMICS-SIDECAR-V0-2026-06-20.json (goa)</t>
        </is>
      </c>
      <c r="AY43" s="44" t="inlineStr">
        <is>
          <t>handoff/INDIA-ECONOMICS-SIDECAR-V0-2026-06-20.json (goa)</t>
        </is>
      </c>
    </row>
    <row r="44">
      <c r="A44" s="29" t="inlineStr">
        <is>
          <t>India Goa Rapido</t>
        </is>
      </c>
      <c r="B44" s="29" t="inlineStr">
        <is>
          <t>India</t>
        </is>
      </c>
      <c r="C44" s="30" t="inlineStr">
        <is>
          <t>Ribandar Ferry → Piedade Ferry Terminal</t>
        </is>
      </c>
      <c r="D44" s="31" t="n">
        <v>2.8</v>
      </c>
      <c r="E44" s="26" t="n">
        <v>8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11250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IF(OR(AG44="",R44=0),"",MIN(IF(AT44="",9.9E+99,AT44),FLOOR(AK44/R44,1)))</f>
        <v/>
      </c>
      <c r="AM44" s="38">
        <f>IF(AL44="","",AL44*T44)</f>
        <v/>
      </c>
      <c r="AN44" s="36">
        <f>IF(OR(AG44="",R44=0),"",MIN(IF(AT44="",9.9E+99,AT44),AK44/R44))</f>
        <v/>
      </c>
      <c r="AO44" s="38">
        <f>IF(AN44="","",AN44*T44)</f>
        <v/>
      </c>
      <c r="AP44" s="40" t="n"/>
      <c r="AQ44" s="32" t="inlineStr">
        <is>
          <t>Grounded</t>
        </is>
      </c>
      <c r="AR44" s="41" t="n"/>
      <c r="AS44" s="41" t="n"/>
      <c r="AT44" s="42" t="n"/>
      <c r="AU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V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W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X44" s="44" t="inlineStr">
        <is>
          <t>handoff/INDIA-ECONOMICS-SIDECAR-V0-2026-06-20.json (goa)</t>
        </is>
      </c>
      <c r="AY44" s="44" t="inlineStr">
        <is>
          <t>handoff/INDIA-ECONOMICS-SIDECAR-V0-2026-06-20.json (goa)</t>
        </is>
      </c>
    </row>
    <row r="45">
      <c r="A45" s="29" t="inlineStr">
        <is>
          <t>India Kerala Rapido</t>
        </is>
      </c>
      <c r="B45" s="29" t="inlineStr">
        <is>
          <t>India</t>
        </is>
      </c>
      <c r="C45" s="30" t="inlineStr">
        <is>
          <t>Keltron Ferry → Sailing Club House</t>
        </is>
      </c>
      <c r="D45" s="31" t="n">
        <v>2.8</v>
      </c>
      <c r="E45" s="26" t="n">
        <v>18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29166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IF(OR(AG45="",R45=0),"",MIN(IF(AT45="",9.9E+99,AT45),FLOOR(AK45/R45,1)))</f>
        <v/>
      </c>
      <c r="AM45" s="38">
        <f>IF(AL45="","",AL45*T45)</f>
        <v/>
      </c>
      <c r="AN45" s="36">
        <f>IF(OR(AG45="",R45=0),"",MIN(IF(AT45="",9.9E+99,AT45),AK45/R45))</f>
        <v/>
      </c>
      <c r="AO45" s="38">
        <f>IF(AN45="","",AN45*T45)</f>
        <v/>
      </c>
      <c r="AP45" s="40" t="n"/>
      <c r="AQ45" s="32" t="inlineStr">
        <is>
          <t>Grounded</t>
        </is>
      </c>
      <c r="AR45" s="41" t="n"/>
      <c r="AS45" s="41" t="n"/>
      <c r="AT45" s="42" t="n"/>
      <c r="AU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V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W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X45" s="44" t="inlineStr">
        <is>
          <t>[LB-255 PREMIUM RE-FARE: subsidized comparable $3.5 lifted to premium on-demand floor $18.0] handoff/INDIA-ECONOMICS-SIDECAR-V0-2026-06-20.json (kerala)</t>
        </is>
      </c>
      <c r="AY45" s="44" t="inlineStr">
        <is>
          <t>handoff/INDIA-ECONOMICS-SIDECAR-V0-2026-06-20.json (kerala)</t>
        </is>
      </c>
    </row>
    <row r="46">
      <c r="A46" s="29" t="inlineStr">
        <is>
          <t>India Andaman Rapido</t>
        </is>
      </c>
      <c r="B46" s="29" t="inlineStr">
        <is>
          <t>India</t>
        </is>
      </c>
      <c r="C46" s="30" t="inlineStr">
        <is>
          <t>Andaman → Andaman &amp; Nicobar Islands</t>
        </is>
      </c>
      <c r="D46" s="31" t="n">
        <v>2.8</v>
      </c>
      <c r="E46" s="26" t="n">
        <v>22</v>
      </c>
      <c r="F46" s="32" t="inlineStr">
        <is>
          <t>T3</t>
        </is>
      </c>
      <c r="G46" s="32" t="inlineStr">
        <is>
          <t>med-low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5000</v>
      </c>
      <c r="AH46" s="32" t="inlineStr">
        <is>
          <t>T3</t>
        </is>
      </c>
      <c r="AI46" s="32" t="inlineStr">
        <is>
          <t>med-low</t>
        </is>
      </c>
      <c r="AJ46" s="39" t="n">
        <v>0.1</v>
      </c>
      <c r="AK46" s="34">
        <f>IF(AG46="","",AG46*AJ46)</f>
        <v/>
      </c>
      <c r="AL46" s="34">
        <f>IF(OR(AG46="",R46=0),"",MIN(IF(AT46="",9.9E+99,AT46),FLOOR(AK46/R46,1)))</f>
        <v/>
      </c>
      <c r="AM46" s="38">
        <f>IF(AL46="","",AL46*T46)</f>
        <v/>
      </c>
      <c r="AN46" s="36">
        <f>IF(OR(AG46="",R46=0),"",MIN(IF(AT46="",9.9E+99,AT46),AK46/R46))</f>
        <v/>
      </c>
      <c r="AO46" s="38">
        <f>IF(AN46="","",AN46*T46)</f>
        <v/>
      </c>
      <c r="AP46" s="40" t="n"/>
      <c r="AQ46" s="32" t="inlineStr">
        <is>
          <t>Grounded</t>
        </is>
      </c>
      <c r="AR46" s="41" t="n"/>
      <c r="AS46" s="41" t="n"/>
      <c r="AT46" s="42" t="n"/>
      <c r="AU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V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W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X46" s="44" t="inlineStr">
        <is>
          <t>handoff/INDIA-ECONOMICS-SIDECAR-V0-2026-06-20.json (andaman)</t>
        </is>
      </c>
      <c r="AY46" s="44" t="inlineStr">
        <is>
          <t>handoff/INDIA-ECONOMICS-SIDECAR-V0-2026-06-20.json (andaman)</t>
        </is>
      </c>
    </row>
    <row r="47">
      <c r="A47" s="29" t="inlineStr">
        <is>
          <t>India Andaman Rapido</t>
        </is>
      </c>
      <c r="B47" s="29" t="inlineStr">
        <is>
          <t>India</t>
        </is>
      </c>
      <c r="C47" s="30" t="inlineStr">
        <is>
          <t>Andaman → BookMyBoat Andaman Ferry Booking</t>
        </is>
      </c>
      <c r="D47" s="31" t="n">
        <v>2.8</v>
      </c>
      <c r="E47" s="26" t="n">
        <v>22</v>
      </c>
      <c r="F47" s="32" t="inlineStr">
        <is>
          <t>T3</t>
        </is>
      </c>
      <c r="G47" s="32" t="inlineStr">
        <is>
          <t>med-low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5000</v>
      </c>
      <c r="AH47" s="32" t="inlineStr">
        <is>
          <t>T3</t>
        </is>
      </c>
      <c r="AI47" s="32" t="inlineStr">
        <is>
          <t>med-low</t>
        </is>
      </c>
      <c r="AJ47" s="39" t="n">
        <v>0.1</v>
      </c>
      <c r="AK47" s="34">
        <f>IF(AG47="","",AG47*AJ47)</f>
        <v/>
      </c>
      <c r="AL47" s="34">
        <f>IF(OR(AG47="",R47=0),"",MIN(IF(AT47="",9.9E+99,AT47),FLOOR(AK47/R47,1)))</f>
        <v/>
      </c>
      <c r="AM47" s="38">
        <f>IF(AL47="","",AL47*T47)</f>
        <v/>
      </c>
      <c r="AN47" s="36">
        <f>IF(OR(AG47="",R47=0),"",MIN(IF(AT47="",9.9E+99,AT47),AK47/R47))</f>
        <v/>
      </c>
      <c r="AO47" s="38">
        <f>IF(AN47="","",AN47*T47)</f>
        <v/>
      </c>
      <c r="AP47" s="40" t="n"/>
      <c r="AQ47" s="32" t="inlineStr">
        <is>
          <t>Grounded</t>
        </is>
      </c>
      <c r="AR47" s="41" t="n"/>
      <c r="AS47" s="41" t="n"/>
      <c r="AT47" s="42" t="n"/>
      <c r="AU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V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W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X47" s="44" t="inlineStr">
        <is>
          <t>handoff/INDIA-ECONOMICS-SIDECAR-V0-2026-06-20.json (andaman)</t>
        </is>
      </c>
      <c r="AY47" s="44" t="inlineStr">
        <is>
          <t>handoff/INDIA-ECONOMICS-SIDECAR-V0-2026-06-20.json (andaman)</t>
        </is>
      </c>
    </row>
    <row r="48">
      <c r="A48" s="29" t="inlineStr">
        <is>
          <t>India Andaman Rapido</t>
        </is>
      </c>
      <c r="B48" s="29" t="inlineStr">
        <is>
          <t>India</t>
        </is>
      </c>
      <c r="C48" s="30" t="inlineStr">
        <is>
          <t>Junglighat Jetty → BookMyBoat Andaman Ferry Booking</t>
        </is>
      </c>
      <c r="D48" s="31" t="n">
        <v>2.8</v>
      </c>
      <c r="E48" s="26" t="n">
        <v>22</v>
      </c>
      <c r="F48" s="32" t="inlineStr">
        <is>
          <t>T3</t>
        </is>
      </c>
      <c r="G48" s="32" t="inlineStr">
        <is>
          <t>med-low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5000</v>
      </c>
      <c r="AH48" s="32" t="inlineStr">
        <is>
          <t>T3</t>
        </is>
      </c>
      <c r="AI48" s="32" t="inlineStr">
        <is>
          <t>med-low</t>
        </is>
      </c>
      <c r="AJ48" s="39" t="n">
        <v>0.1</v>
      </c>
      <c r="AK48" s="34">
        <f>IF(AG48="","",AG48*AJ48)</f>
        <v/>
      </c>
      <c r="AL48" s="34">
        <f>IF(OR(AG48="",R48=0),"",MIN(IF(AT48="",9.9E+99,AT48),FLOOR(AK48/R48,1)))</f>
        <v/>
      </c>
      <c r="AM48" s="38">
        <f>IF(AL48="","",AL48*T48)</f>
        <v/>
      </c>
      <c r="AN48" s="36">
        <f>IF(OR(AG48="",R48=0),"",MIN(IF(AT48="",9.9E+99,AT48),AK48/R48))</f>
        <v/>
      </c>
      <c r="AO48" s="38">
        <f>IF(AN48="","",AN48*T48)</f>
        <v/>
      </c>
      <c r="AP48" s="40" t="n"/>
      <c r="AQ48" s="32" t="inlineStr">
        <is>
          <t>Grounded</t>
        </is>
      </c>
      <c r="AR48" s="41" t="n"/>
      <c r="AS48" s="41" t="n"/>
      <c r="AT48" s="42" t="n"/>
      <c r="AU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V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W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X48" s="44" t="inlineStr">
        <is>
          <t>handoff/INDIA-ECONOMICS-SIDECAR-V0-2026-06-20.json (andaman)</t>
        </is>
      </c>
      <c r="AY48" s="44" t="inlineStr">
        <is>
          <t>handoff/INDIA-ECONOMICS-SIDECAR-V0-2026-06-20.json (andaman)</t>
        </is>
      </c>
    </row>
    <row r="49">
      <c r="A49" s="29" t="inlineStr">
        <is>
          <t>India Andaman Rapido</t>
        </is>
      </c>
      <c r="B49" s="29" t="inlineStr">
        <is>
          <t>India</t>
        </is>
      </c>
      <c r="C49" s="30" t="inlineStr">
        <is>
          <t>Port Blair → BookMyBoat Andaman Ferry Booking</t>
        </is>
      </c>
      <c r="D49" s="31" t="n">
        <v>2.8</v>
      </c>
      <c r="E49" s="26" t="n">
        <v>22</v>
      </c>
      <c r="F49" s="32" t="inlineStr">
        <is>
          <t>T3</t>
        </is>
      </c>
      <c r="G49" s="32" t="inlineStr">
        <is>
          <t>med-low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5000</v>
      </c>
      <c r="AH49" s="32" t="inlineStr">
        <is>
          <t>T3</t>
        </is>
      </c>
      <c r="AI49" s="32" t="inlineStr">
        <is>
          <t>med-low</t>
        </is>
      </c>
      <c r="AJ49" s="39" t="n">
        <v>0.1</v>
      </c>
      <c r="AK49" s="34">
        <f>IF(AG49="","",AG49*AJ49)</f>
        <v/>
      </c>
      <c r="AL49" s="34">
        <f>IF(OR(AG49="",R49=0),"",MIN(IF(AT49="",9.9E+99,AT49),FLOOR(AK49/R49,1)))</f>
        <v/>
      </c>
      <c r="AM49" s="38">
        <f>IF(AL49="","",AL49*T49)</f>
        <v/>
      </c>
      <c r="AN49" s="36">
        <f>IF(OR(AG49="",R49=0),"",MIN(IF(AT49="",9.9E+99,AT49),AK49/R49))</f>
        <v/>
      </c>
      <c r="AO49" s="38">
        <f>IF(AN49="","",AN49*T49)</f>
        <v/>
      </c>
      <c r="AP49" s="40" t="n"/>
      <c r="AQ49" s="32" t="inlineStr">
        <is>
          <t>Grounded</t>
        </is>
      </c>
      <c r="AR49" s="41" t="n"/>
      <c r="AS49" s="41" t="n"/>
      <c r="AT49" s="42" t="n"/>
      <c r="AU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V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W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X49" s="44" t="inlineStr">
        <is>
          <t>handoff/INDIA-ECONOMICS-SIDECAR-V0-2026-06-20.json (andaman)</t>
        </is>
      </c>
      <c r="AY49" s="44" t="inlineStr">
        <is>
          <t>handoff/INDIA-ECONOMICS-SIDECAR-V0-2026-06-20.json (andaman)</t>
        </is>
      </c>
    </row>
    <row r="50">
      <c r="A50" s="29" t="inlineStr">
        <is>
          <t>India Mumbai Rapido</t>
        </is>
      </c>
      <c r="B50" s="29" t="inlineStr">
        <is>
          <t>India</t>
        </is>
      </c>
      <c r="C50" s="30" t="inlineStr">
        <is>
          <t>Pirpau Jetty → JNPT Ferry Service</t>
        </is>
      </c>
      <c r="D50" s="31" t="n">
        <v>2.9</v>
      </c>
      <c r="E50" s="26" t="n">
        <v>18</v>
      </c>
      <c r="F50" s="32" t="inlineStr">
        <is>
          <t>T3</t>
        </is>
      </c>
      <c r="G50" s="32" t="inlineStr">
        <is>
          <t>med-low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5000</v>
      </c>
      <c r="AH50" s="32" t="inlineStr">
        <is>
          <t>T3</t>
        </is>
      </c>
      <c r="AI50" s="32" t="inlineStr">
        <is>
          <t>med-low</t>
        </is>
      </c>
      <c r="AJ50" s="39" t="n">
        <v>0.1</v>
      </c>
      <c r="AK50" s="34">
        <f>IF(AG50="","",AG50*AJ50)</f>
        <v/>
      </c>
      <c r="AL50" s="34">
        <f>IF(OR(AG50="",R50=0),"",MIN(IF(AT50="",9.9E+99,AT50),FLOOR(AK50/R50,1)))</f>
        <v/>
      </c>
      <c r="AM50" s="38">
        <f>IF(AL50="","",AL50*T50)</f>
        <v/>
      </c>
      <c r="AN50" s="36">
        <f>IF(OR(AG50="",R50=0),"",MIN(IF(AT50="",9.9E+99,AT50),AK50/R50))</f>
        <v/>
      </c>
      <c r="AO50" s="38">
        <f>IF(AN50="","",AN50*T50)</f>
        <v/>
      </c>
      <c r="AP50" s="40" t="n"/>
      <c r="AQ50" s="32" t="inlineStr">
        <is>
          <t>Grounded</t>
        </is>
      </c>
      <c r="AR50" s="41" t="n"/>
      <c r="AS50" s="41" t="n"/>
      <c r="AT50" s="42" t="n"/>
      <c r="AU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V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W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X50" s="44" t="inlineStr">
        <is>
          <t>[LB-255 PREMIUM RE-FARE: subsidized comparable $5.5 lifted to premium on-demand floor $18.0] handoff/INDIA-ECONOMICS-SIDECAR-V0-2026-06-20.json (mumbai)</t>
        </is>
      </c>
      <c r="AY50" s="44" t="inlineStr">
        <is>
          <t>handoff/INDIA-ECONOMICS-SIDECAR-V0-2026-06-20.json (mumbai)</t>
        </is>
      </c>
    </row>
    <row r="51">
      <c r="A51" s="29" t="inlineStr">
        <is>
          <t>India Andaman Rapido</t>
        </is>
      </c>
      <c r="B51" s="29" t="inlineStr">
        <is>
          <t>India</t>
        </is>
      </c>
      <c r="C51" s="30" t="inlineStr">
        <is>
          <t>Bambooflat Jetty → Panighat Ferry Jetty</t>
        </is>
      </c>
      <c r="D51" s="31" t="n">
        <v>3</v>
      </c>
      <c r="E51" s="26" t="n">
        <v>22</v>
      </c>
      <c r="F51" s="32" t="inlineStr">
        <is>
          <t>T3</t>
        </is>
      </c>
      <c r="G51" s="32" t="inlineStr">
        <is>
          <t>med-low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MIN(15,FLOOR(60*service_hr/J51,1))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5000</v>
      </c>
      <c r="AH51" s="32" t="inlineStr">
        <is>
          <t>T3</t>
        </is>
      </c>
      <c r="AI51" s="32" t="inlineStr">
        <is>
          <t>med-low</t>
        </is>
      </c>
      <c r="AJ51" s="39" t="n">
        <v>0.1</v>
      </c>
      <c r="AK51" s="34">
        <f>IF(AG51="","",AG51*AJ51)</f>
        <v/>
      </c>
      <c r="AL51" s="34">
        <f>IF(OR(AG51="",R51=0),"",MIN(IF(AT51="",9.9E+99,AT51),FLOOR(AK51/R51,1)))</f>
        <v/>
      </c>
      <c r="AM51" s="38">
        <f>IF(AL51="","",AL51*T51)</f>
        <v/>
      </c>
      <c r="AN51" s="36">
        <f>IF(OR(AG51="",R51=0),"",MIN(IF(AT51="",9.9E+99,AT51),AK51/R51))</f>
        <v/>
      </c>
      <c r="AO51" s="38">
        <f>IF(AN51="","",AN51*T51)</f>
        <v/>
      </c>
      <c r="AP51" s="40" t="n"/>
      <c r="AQ51" s="32" t="inlineStr">
        <is>
          <t>Grounded</t>
        </is>
      </c>
      <c r="AR51" s="41" t="n"/>
      <c r="AS51" s="41" t="n"/>
      <c r="AT51" s="42" t="n"/>
      <c r="AU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V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W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X51" s="44" t="inlineStr">
        <is>
          <t>handoff/INDIA-ECONOMICS-SIDECAR-V0-2026-06-20.json (andaman)</t>
        </is>
      </c>
      <c r="AY51" s="44" t="inlineStr">
        <is>
          <t>handoff/INDIA-ECONOMICS-SIDECAR-V0-2026-06-20.json (andaman)</t>
        </is>
      </c>
    </row>
    <row r="52">
      <c r="A52" s="29" t="inlineStr">
        <is>
          <t>India Goa Rapido</t>
        </is>
      </c>
      <c r="B52" s="29" t="inlineStr">
        <is>
          <t>India</t>
        </is>
      </c>
      <c r="C52" s="30" t="inlineStr">
        <is>
          <t>Yacht Life Goa → Camurlim Ferry Terminal</t>
        </is>
      </c>
      <c r="D52" s="31" t="n">
        <v>3.1</v>
      </c>
      <c r="E52" s="26" t="n">
        <v>8</v>
      </c>
      <c r="F52" s="32" t="inlineStr">
        <is>
          <t>T3</t>
        </is>
      </c>
      <c r="G52" s="32" t="inlineStr">
        <is>
          <t>med-low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MIN(15,FLOOR(60*service_hr/J52,1))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11250</v>
      </c>
      <c r="AH52" s="32" t="inlineStr">
        <is>
          <t>T3</t>
        </is>
      </c>
      <c r="AI52" s="32" t="inlineStr">
        <is>
          <t>med-low</t>
        </is>
      </c>
      <c r="AJ52" s="39" t="n">
        <v>0.1</v>
      </c>
      <c r="AK52" s="34">
        <f>IF(AG52="","",AG52*AJ52)</f>
        <v/>
      </c>
      <c r="AL52" s="34">
        <f>IF(OR(AG52="",R52=0),"",MIN(IF(AT52="",9.9E+99,AT52),FLOOR(AK52/R52,1)))</f>
        <v/>
      </c>
      <c r="AM52" s="38">
        <f>IF(AL52="","",AL52*T52)</f>
        <v/>
      </c>
      <c r="AN52" s="36">
        <f>IF(OR(AG52="",R52=0),"",MIN(IF(AT52="",9.9E+99,AT52),AK52/R52))</f>
        <v/>
      </c>
      <c r="AO52" s="38">
        <f>IF(AN52="","",AN52*T52)</f>
        <v/>
      </c>
      <c r="AP52" s="40" t="n"/>
      <c r="AQ52" s="32" t="inlineStr">
        <is>
          <t>Grounded</t>
        </is>
      </c>
      <c r="AR52" s="41" t="n"/>
      <c r="AS52" s="41" t="n"/>
      <c r="AT52" s="42" t="n"/>
      <c r="AU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V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W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X52" s="44" t="inlineStr">
        <is>
          <t>handoff/INDIA-ECONOMICS-SIDECAR-V0-2026-06-20.json (goa)</t>
        </is>
      </c>
      <c r="AY52" s="44" t="inlineStr">
        <is>
          <t>handoff/INDIA-ECONOMICS-SIDECAR-V0-2026-06-20.json (goa)</t>
        </is>
      </c>
    </row>
    <row r="53">
      <c r="A53" s="29" t="inlineStr">
        <is>
          <t>India Goa Rapido</t>
        </is>
      </c>
      <c r="B53" s="29" t="inlineStr">
        <is>
          <t>India</t>
        </is>
      </c>
      <c r="C53" s="30" t="inlineStr">
        <is>
          <t>Yacht Life Goa → Tuem Ferry Terminal</t>
        </is>
      </c>
      <c r="D53" s="31" t="n">
        <v>3.1</v>
      </c>
      <c r="E53" s="26" t="n">
        <v>8</v>
      </c>
      <c r="F53" s="32" t="inlineStr">
        <is>
          <t>T3</t>
        </is>
      </c>
      <c r="G53" s="32" t="inlineStr">
        <is>
          <t>med-low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11250</v>
      </c>
      <c r="AH53" s="32" t="inlineStr">
        <is>
          <t>T3</t>
        </is>
      </c>
      <c r="AI53" s="32" t="inlineStr">
        <is>
          <t>med-low</t>
        </is>
      </c>
      <c r="AJ53" s="39" t="n">
        <v>0.1</v>
      </c>
      <c r="AK53" s="34">
        <f>IF(AG53="","",AG53*AJ53)</f>
        <v/>
      </c>
      <c r="AL53" s="34">
        <f>IF(OR(AG53="",R53=0),"",MIN(IF(AT53="",9.9E+99,AT53),FLOOR(AK53/R53,1)))</f>
        <v/>
      </c>
      <c r="AM53" s="38">
        <f>IF(AL53="","",AL53*T53)</f>
        <v/>
      </c>
      <c r="AN53" s="36">
        <f>IF(OR(AG53="",R53=0),"",MIN(IF(AT53="",9.9E+99,AT53),AK53/R53))</f>
        <v/>
      </c>
      <c r="AO53" s="38">
        <f>IF(AN53="","",AN53*T53)</f>
        <v/>
      </c>
      <c r="AP53" s="40" t="n"/>
      <c r="AQ53" s="32" t="inlineStr">
        <is>
          <t>Grounded</t>
        </is>
      </c>
      <c r="AR53" s="41" t="n"/>
      <c r="AS53" s="41" t="n"/>
      <c r="AT53" s="42" t="n"/>
      <c r="AU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V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W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X53" s="44" t="inlineStr">
        <is>
          <t>handoff/INDIA-ECONOMICS-SIDECAR-V0-2026-06-20.json (goa)</t>
        </is>
      </c>
      <c r="AY53" s="44" t="inlineStr">
        <is>
          <t>handoff/INDIA-ECONOMICS-SIDECAR-V0-2026-06-20.json (goa)</t>
        </is>
      </c>
    </row>
    <row r="54">
      <c r="A54" s="29" t="inlineStr">
        <is>
          <t>India Kerala Rapido</t>
        </is>
      </c>
      <c r="B54" s="29" t="inlineStr">
        <is>
          <t>India</t>
        </is>
      </c>
      <c r="C54" s="30" t="inlineStr">
        <is>
          <t>Martins Harbour → Kakkanad Ferry Terminal</t>
        </is>
      </c>
      <c r="D54" s="31" t="n">
        <v>3.1</v>
      </c>
      <c r="E54" s="26" t="n">
        <v>18</v>
      </c>
      <c r="F54" s="32" t="inlineStr">
        <is>
          <t>T3</t>
        </is>
      </c>
      <c r="G54" s="32" t="inlineStr">
        <is>
          <t>med-low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MIN(15,FLOOR(60*service_hr/J54,1))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29166</v>
      </c>
      <c r="AH54" s="32" t="inlineStr">
        <is>
          <t>T3</t>
        </is>
      </c>
      <c r="AI54" s="32" t="inlineStr">
        <is>
          <t>med-low</t>
        </is>
      </c>
      <c r="AJ54" s="39" t="n">
        <v>0.1</v>
      </c>
      <c r="AK54" s="34">
        <f>IF(AG54="","",AG54*AJ54)</f>
        <v/>
      </c>
      <c r="AL54" s="34">
        <f>IF(OR(AG54="",R54=0),"",MIN(IF(AT54="",9.9E+99,AT54),FLOOR(AK54/R54,1)))</f>
        <v/>
      </c>
      <c r="AM54" s="38">
        <f>IF(AL54="","",AL54*T54)</f>
        <v/>
      </c>
      <c r="AN54" s="36">
        <f>IF(OR(AG54="",R54=0),"",MIN(IF(AT54="",9.9E+99,AT54),AK54/R54))</f>
        <v/>
      </c>
      <c r="AO54" s="38">
        <f>IF(AN54="","",AN54*T54)</f>
        <v/>
      </c>
      <c r="AP54" s="40" t="n"/>
      <c r="AQ54" s="32" t="inlineStr">
        <is>
          <t>Grounded</t>
        </is>
      </c>
      <c r="AR54" s="41" t="n"/>
      <c r="AS54" s="41" t="n"/>
      <c r="AT54" s="42" t="n"/>
      <c r="AU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V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W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X54" s="44" t="inlineStr">
        <is>
          <t>[LB-255 PREMIUM RE-FARE: subsidized comparable $3.5 lifted to premium on-demand floor $18.0] handoff/INDIA-ECONOMICS-SIDECAR-V0-2026-06-20.json (kerala)</t>
        </is>
      </c>
      <c r="AY54" s="44" t="inlineStr">
        <is>
          <t>handoff/INDIA-ECONOMICS-SIDECAR-V0-2026-06-20.json (kerala)</t>
        </is>
      </c>
    </row>
    <row r="55">
      <c r="A55" s="29" t="inlineStr">
        <is>
          <t>Rapido Mumbai</t>
        </is>
      </c>
      <c r="B55" s="29" t="inlineStr">
        <is>
          <t>India</t>
        </is>
      </c>
      <c r="C55" s="30" t="inlineStr">
        <is>
          <t>Bombay Harbour → Elephanta Caves</t>
        </is>
      </c>
      <c r="D55" s="31" t="n">
        <v>3.2</v>
      </c>
      <c r="E55" s="26" t="n"/>
      <c r="F55" s="32" t="inlineStr">
        <is>
          <t>T3</t>
        </is>
      </c>
      <c r="G55" s="32" t="inlineStr">
        <is>
          <t>med-low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>
        <v>9230</v>
      </c>
      <c r="AH55" s="32" t="inlineStr">
        <is>
          <t>T3</t>
        </is>
      </c>
      <c r="AI55" s="32" t="inlineStr">
        <is>
          <t>med-low</t>
        </is>
      </c>
      <c r="AJ55" s="39" t="n">
        <v>0.1</v>
      </c>
      <c r="AK55" s="34">
        <f>IF(AG55="","",AG55*AJ55)</f>
        <v/>
      </c>
      <c r="AL55" s="34">
        <f>IF(OR(AG55="",R55=0),"",MIN(IF(AT55="",9.9E+99,AT55),FLOOR(AK55/R55,1)))</f>
        <v/>
      </c>
      <c r="AM55" s="38">
        <f>IF(AL55="","",AL55*T55)</f>
        <v/>
      </c>
      <c r="AN55" s="36">
        <f>IF(OR(AG55="",R55=0),"",MIN(IF(AT55="",9.9E+99,AT55),AK55/R55))</f>
        <v/>
      </c>
      <c r="AO55" s="38">
        <f>IF(AN55="","",AN55*T55)</f>
        <v/>
      </c>
      <c r="AP55" s="40" t="n"/>
      <c r="AQ55" s="32" t="inlineStr">
        <is>
          <t>Upside tier</t>
        </is>
      </c>
      <c r="AR55" s="41" t="n"/>
      <c r="AS55" s="41" t="inlineStr">
        <is>
          <t>experience_upside</t>
        </is>
      </c>
      <c r="AT55" s="42" t="n"/>
      <c r="AU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V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W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X55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Y55" s="44" t="inlineStr">
        <is>
          <t>PR #58 Mumbai spine route-count split (13 sealed rows × anchor 120,000 pax/yr)</t>
        </is>
      </c>
    </row>
    <row r="56">
      <c r="A56" s="29" t="inlineStr">
        <is>
          <t>India Goa Rapido</t>
        </is>
      </c>
      <c r="B56" s="29" t="inlineStr">
        <is>
          <t>India</t>
        </is>
      </c>
      <c r="C56" s="30" t="inlineStr">
        <is>
          <t>Ribandar Ferry → Pomburpa Ferry Terminal</t>
        </is>
      </c>
      <c r="D56" s="31" t="n">
        <v>3.2</v>
      </c>
      <c r="E56" s="26" t="n">
        <v>8</v>
      </c>
      <c r="F56" s="32" t="inlineStr">
        <is>
          <t>T3</t>
        </is>
      </c>
      <c r="G56" s="32" t="inlineStr">
        <is>
          <t>med-low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MIN(15,FLOOR(60*service_hr/J56,1))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11250</v>
      </c>
      <c r="AH56" s="32" t="inlineStr">
        <is>
          <t>T3</t>
        </is>
      </c>
      <c r="AI56" s="32" t="inlineStr">
        <is>
          <t>med-low</t>
        </is>
      </c>
      <c r="AJ56" s="39" t="n">
        <v>0.1</v>
      </c>
      <c r="AK56" s="34">
        <f>IF(AG56="","",AG56*AJ56)</f>
        <v/>
      </c>
      <c r="AL56" s="34">
        <f>IF(OR(AG56="",R56=0),"",MIN(IF(AT56="",9.9E+99,AT56),FLOOR(AK56/R56,1)))</f>
        <v/>
      </c>
      <c r="AM56" s="38">
        <f>IF(AL56="","",AL56*T56)</f>
        <v/>
      </c>
      <c r="AN56" s="36">
        <f>IF(OR(AG56="",R56=0),"",MIN(IF(AT56="",9.9E+99,AT56),AK56/R56))</f>
        <v/>
      </c>
      <c r="AO56" s="38">
        <f>IF(AN56="","",AN56*T56)</f>
        <v/>
      </c>
      <c r="AP56" s="40" t="n"/>
      <c r="AQ56" s="32" t="inlineStr">
        <is>
          <t>Grounded</t>
        </is>
      </c>
      <c r="AR56" s="41" t="n"/>
      <c r="AS56" s="41" t="n"/>
      <c r="AT56" s="42" t="n"/>
      <c r="AU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V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W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X56" s="44" t="inlineStr">
        <is>
          <t>handoff/INDIA-ECONOMICS-SIDECAR-V0-2026-06-20.json (goa)</t>
        </is>
      </c>
      <c r="AY56" s="44" t="inlineStr">
        <is>
          <t>handoff/INDIA-ECONOMICS-SIDECAR-V0-2026-06-20.json (goa)</t>
        </is>
      </c>
    </row>
    <row r="57">
      <c r="A57" s="29" t="inlineStr">
        <is>
          <t>India Kerala Rapido</t>
        </is>
      </c>
      <c r="B57" s="29" t="inlineStr">
        <is>
          <t>India</t>
        </is>
      </c>
      <c r="C57" s="30" t="inlineStr">
        <is>
          <t>Thevara Ferry → Sailing Club House</t>
        </is>
      </c>
      <c r="D57" s="31" t="n">
        <v>3.2</v>
      </c>
      <c r="E57" s="26" t="n">
        <v>18</v>
      </c>
      <c r="F57" s="32" t="inlineStr">
        <is>
          <t>T3</t>
        </is>
      </c>
      <c r="G57" s="32" t="inlineStr">
        <is>
          <t>med-low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MIN(15,FLOOR(60*service_hr/J57,1))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29166</v>
      </c>
      <c r="AH57" s="32" t="inlineStr">
        <is>
          <t>T3</t>
        </is>
      </c>
      <c r="AI57" s="32" t="inlineStr">
        <is>
          <t>med-low</t>
        </is>
      </c>
      <c r="AJ57" s="39" t="n">
        <v>0.1</v>
      </c>
      <c r="AK57" s="34">
        <f>IF(AG57="","",AG57*AJ57)</f>
        <v/>
      </c>
      <c r="AL57" s="34">
        <f>IF(OR(AG57="",R57=0),"",MIN(IF(AT57="",9.9E+99,AT57),FLOOR(AK57/R57,1)))</f>
        <v/>
      </c>
      <c r="AM57" s="38">
        <f>IF(AL57="","",AL57*T57)</f>
        <v/>
      </c>
      <c r="AN57" s="36">
        <f>IF(OR(AG57="",R57=0),"",MIN(IF(AT57="",9.9E+99,AT57),AK57/R57))</f>
        <v/>
      </c>
      <c r="AO57" s="38">
        <f>IF(AN57="","",AN57*T57)</f>
        <v/>
      </c>
      <c r="AP57" s="40" t="n"/>
      <c r="AQ57" s="32" t="inlineStr">
        <is>
          <t>Grounded</t>
        </is>
      </c>
      <c r="AR57" s="41" t="n"/>
      <c r="AS57" s="41" t="n"/>
      <c r="AT57" s="42" t="n"/>
      <c r="AU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V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W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X57" s="44" t="inlineStr">
        <is>
          <t>[LB-255 PREMIUM RE-FARE: subsidized comparable $3.5 lifted to premium on-demand floor $18.0] handoff/INDIA-ECONOMICS-SIDECAR-V0-2026-06-20.json (kerala)</t>
        </is>
      </c>
      <c r="AY57" s="44" t="inlineStr">
        <is>
          <t>handoff/INDIA-ECONOMICS-SIDECAR-V0-2026-06-20.json (kerala)</t>
        </is>
      </c>
    </row>
    <row r="58">
      <c r="A58" s="29" t="inlineStr">
        <is>
          <t>India Andaman Rapido</t>
        </is>
      </c>
      <c r="B58" s="29" t="inlineStr">
        <is>
          <t>India</t>
        </is>
      </c>
      <c r="C58" s="30" t="inlineStr">
        <is>
          <t>Andaman → Panighat Ferry Jetty</t>
        </is>
      </c>
      <c r="D58" s="31" t="n">
        <v>3.2</v>
      </c>
      <c r="E58" s="26" t="n">
        <v>22</v>
      </c>
      <c r="F58" s="32" t="inlineStr">
        <is>
          <t>T3</t>
        </is>
      </c>
      <c r="G58" s="32" t="inlineStr">
        <is>
          <t>med-low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5000</v>
      </c>
      <c r="AH58" s="32" t="inlineStr">
        <is>
          <t>T3</t>
        </is>
      </c>
      <c r="AI58" s="32" t="inlineStr">
        <is>
          <t>med-low</t>
        </is>
      </c>
      <c r="AJ58" s="39" t="n">
        <v>0.1</v>
      </c>
      <c r="AK58" s="34">
        <f>IF(AG58="","",AG58*AJ58)</f>
        <v/>
      </c>
      <c r="AL58" s="34">
        <f>IF(OR(AG58="",R58=0),"",MIN(IF(AT58="",9.9E+99,AT58),FLOOR(AK58/R58,1)))</f>
        <v/>
      </c>
      <c r="AM58" s="38">
        <f>IF(AL58="","",AL58*T58)</f>
        <v/>
      </c>
      <c r="AN58" s="36">
        <f>IF(OR(AG58="",R58=0),"",MIN(IF(AT58="",9.9E+99,AT58),AK58/R58))</f>
        <v/>
      </c>
      <c r="AO58" s="38">
        <f>IF(AN58="","",AN58*T58)</f>
        <v/>
      </c>
      <c r="AP58" s="40" t="n"/>
      <c r="AQ58" s="32" t="inlineStr">
        <is>
          <t>Grounded</t>
        </is>
      </c>
      <c r="AR58" s="41" t="n"/>
      <c r="AS58" s="41" t="n"/>
      <c r="AT58" s="42" t="n"/>
      <c r="AU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V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W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X58" s="44" t="inlineStr">
        <is>
          <t>handoff/INDIA-ECONOMICS-SIDECAR-V0-2026-06-20.json (andaman)</t>
        </is>
      </c>
      <c r="AY58" s="44" t="inlineStr">
        <is>
          <t>handoff/INDIA-ECONOMICS-SIDECAR-V0-2026-06-20.json (andaman)</t>
        </is>
      </c>
    </row>
    <row r="59">
      <c r="A59" s="29" t="inlineStr">
        <is>
          <t>India Chennai Rapido</t>
        </is>
      </c>
      <c r="B59" s="29" t="inlineStr">
        <is>
          <t>India</t>
        </is>
      </c>
      <c r="C59" s="30" t="inlineStr">
        <is>
          <t>Chennai Port WQIV Cruise Terminal → Marina Beach Waterfront</t>
        </is>
      </c>
      <c r="D59" s="31" t="n">
        <v>3.2</v>
      </c>
      <c r="E59" s="26" t="n">
        <v>12</v>
      </c>
      <c r="F59" s="32" t="n"/>
      <c r="G59" s="32" t="n"/>
      <c r="H59" s="19" t="n">
        <v>1</v>
      </c>
      <c r="I59" s="33">
        <f>60*D59/cruise_kt</f>
        <v/>
      </c>
      <c r="J59" s="33">
        <f>I59+turn_min+dwell_min</f>
        <v/>
      </c>
      <c r="K59" s="34">
        <f>MIN(15,FLOOR(60*service_hr/J59,1))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>
        <v>400000</v>
      </c>
      <c r="AH59" s="32" t="n"/>
      <c r="AI59" s="32" t="n"/>
      <c r="AJ59" s="39" t="n">
        <v>0.1</v>
      </c>
      <c r="AK59" s="34">
        <f>IF(AG59="","",AG59*AJ59)</f>
        <v/>
      </c>
      <c r="AL59" s="34">
        <f>IF(OR(AG59="",R59=0),"",MIN(IF(AT59="",9.9E+99,AT59),FLOOR(AK59/R59,1)))</f>
        <v/>
      </c>
      <c r="AM59" s="38">
        <f>IF(AL59="","",AL59*T59)</f>
        <v/>
      </c>
      <c r="AN59" s="36">
        <f>IF(OR(AG59="",R59=0),"",MIN(IF(AT59="",9.9E+99,AT59),AK59/R59))</f>
        <v/>
      </c>
      <c r="AO59" s="38">
        <f>IF(AN59="","",AN59*T59)</f>
        <v/>
      </c>
      <c r="AP59" s="40" t="n"/>
      <c r="AQ59" s="32" t="inlineStr">
        <is>
          <t>Grounded</t>
        </is>
      </c>
      <c r="AR59" s="41" t="n"/>
      <c r="AS59" s="41" t="n"/>
      <c r="AT59" s="42" t="n"/>
      <c r="AU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V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W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X59" s="44" t="n"/>
      <c r="AY59" s="44" t="n"/>
    </row>
    <row r="60">
      <c r="A60" s="29" t="inlineStr">
        <is>
          <t>India Andaman Rapido</t>
        </is>
      </c>
      <c r="B60" s="29" t="inlineStr">
        <is>
          <t>India</t>
        </is>
      </c>
      <c r="C60" s="30" t="inlineStr">
        <is>
          <t>Andaman → Chatham Harbour</t>
        </is>
      </c>
      <c r="D60" s="31" t="n">
        <v>3.3</v>
      </c>
      <c r="E60" s="26" t="n">
        <v>22</v>
      </c>
      <c r="F60" s="32" t="inlineStr">
        <is>
          <t>T3</t>
        </is>
      </c>
      <c r="G60" s="32" t="inlineStr">
        <is>
          <t>med-low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MIN(15,FLOOR(60*service_hr/J60,1))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5000</v>
      </c>
      <c r="AH60" s="32" t="inlineStr">
        <is>
          <t>T3</t>
        </is>
      </c>
      <c r="AI60" s="32" t="inlineStr">
        <is>
          <t>med-low</t>
        </is>
      </c>
      <c r="AJ60" s="39" t="n">
        <v>0.1</v>
      </c>
      <c r="AK60" s="34">
        <f>IF(AG60="","",AG60*AJ60)</f>
        <v/>
      </c>
      <c r="AL60" s="34">
        <f>IF(OR(AG60="",R60=0),"",MIN(IF(AT60="",9.9E+99,AT60),FLOOR(AK60/R60,1)))</f>
        <v/>
      </c>
      <c r="AM60" s="38">
        <f>IF(AL60="","",AL60*T60)</f>
        <v/>
      </c>
      <c r="AN60" s="36">
        <f>IF(OR(AG60="",R60=0),"",MIN(IF(AT60="",9.9E+99,AT60),AK60/R60))</f>
        <v/>
      </c>
      <c r="AO60" s="38">
        <f>IF(AN60="","",AN60*T60)</f>
        <v/>
      </c>
      <c r="AP60" s="40" t="n"/>
      <c r="AQ60" s="32" t="inlineStr">
        <is>
          <t>Grounded</t>
        </is>
      </c>
      <c r="AR60" s="41" t="n"/>
      <c r="AS60" s="41" t="n"/>
      <c r="AT60" s="42" t="n"/>
      <c r="AU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V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W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X60" s="44" t="inlineStr">
        <is>
          <t>handoff/INDIA-ECONOMICS-SIDECAR-V0-2026-06-20.json (andaman)</t>
        </is>
      </c>
      <c r="AY60" s="44" t="inlineStr">
        <is>
          <t>handoff/INDIA-ECONOMICS-SIDECAR-V0-2026-06-20.json (andaman)</t>
        </is>
      </c>
    </row>
    <row r="61">
      <c r="A61" s="29" t="inlineStr">
        <is>
          <t>India Andaman Rapido</t>
        </is>
      </c>
      <c r="B61" s="29" t="inlineStr">
        <is>
          <t>India</t>
        </is>
      </c>
      <c r="C61" s="30" t="inlineStr">
        <is>
          <t>Andaman → Haddo Jetty</t>
        </is>
      </c>
      <c r="D61" s="31" t="n">
        <v>3.3</v>
      </c>
      <c r="E61" s="26" t="n">
        <v>22</v>
      </c>
      <c r="F61" s="32" t="inlineStr">
        <is>
          <t>T3</t>
        </is>
      </c>
      <c r="G61" s="32" t="inlineStr">
        <is>
          <t>med-low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MIN(15,FLOOR(60*service_hr/J61,1))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5000</v>
      </c>
      <c r="AH61" s="32" t="inlineStr">
        <is>
          <t>T3</t>
        </is>
      </c>
      <c r="AI61" s="32" t="inlineStr">
        <is>
          <t>med-low</t>
        </is>
      </c>
      <c r="AJ61" s="39" t="n">
        <v>0.1</v>
      </c>
      <c r="AK61" s="34">
        <f>IF(AG61="","",AG61*AJ61)</f>
        <v/>
      </c>
      <c r="AL61" s="34">
        <f>IF(OR(AG61="",R61=0),"",MIN(IF(AT61="",9.9E+99,AT61),FLOOR(AK61/R61,1)))</f>
        <v/>
      </c>
      <c r="AM61" s="38">
        <f>IF(AL61="","",AL61*T61)</f>
        <v/>
      </c>
      <c r="AN61" s="36">
        <f>IF(OR(AG61="",R61=0),"",MIN(IF(AT61="",9.9E+99,AT61),AK61/R61))</f>
        <v/>
      </c>
      <c r="AO61" s="38">
        <f>IF(AN61="","",AN61*T61)</f>
        <v/>
      </c>
      <c r="AP61" s="40" t="n"/>
      <c r="AQ61" s="32" t="inlineStr">
        <is>
          <t>Grounded</t>
        </is>
      </c>
      <c r="AR61" s="41" t="n"/>
      <c r="AS61" s="41" t="n"/>
      <c r="AT61" s="42" t="n"/>
      <c r="AU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V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W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X61" s="44" t="inlineStr">
        <is>
          <t>handoff/INDIA-ECONOMICS-SIDECAR-V0-2026-06-20.json (andaman)</t>
        </is>
      </c>
      <c r="AY61" s="44" t="inlineStr">
        <is>
          <t>handoff/INDIA-ECONOMICS-SIDECAR-V0-2026-06-20.json (andaman)</t>
        </is>
      </c>
    </row>
    <row r="62">
      <c r="A62" s="29" t="inlineStr">
        <is>
          <t>India Andaman Rapido</t>
        </is>
      </c>
      <c r="B62" s="29" t="inlineStr">
        <is>
          <t>India</t>
        </is>
      </c>
      <c r="C62" s="30" t="inlineStr">
        <is>
          <t>Bambooflat Jetty → Chatham Jetty</t>
        </is>
      </c>
      <c r="D62" s="31" t="n">
        <v>3.3</v>
      </c>
      <c r="E62" s="26" t="n">
        <v>22</v>
      </c>
      <c r="F62" s="32" t="inlineStr">
        <is>
          <t>T3</t>
        </is>
      </c>
      <c r="G62" s="32" t="inlineStr">
        <is>
          <t>med-low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MIN(15,FLOOR(60*service_hr/J62,1))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5000</v>
      </c>
      <c r="AH62" s="32" t="inlineStr">
        <is>
          <t>T3</t>
        </is>
      </c>
      <c r="AI62" s="32" t="inlineStr">
        <is>
          <t>med-low</t>
        </is>
      </c>
      <c r="AJ62" s="39" t="n">
        <v>0.1</v>
      </c>
      <c r="AK62" s="34">
        <f>IF(AG62="","",AG62*AJ62)</f>
        <v/>
      </c>
      <c r="AL62" s="34">
        <f>IF(OR(AG62="",R62=0),"",MIN(IF(AT62="",9.9E+99,AT62),FLOOR(AK62/R62,1)))</f>
        <v/>
      </c>
      <c r="AM62" s="38">
        <f>IF(AL62="","",AL62*T62)</f>
        <v/>
      </c>
      <c r="AN62" s="36">
        <f>IF(OR(AG62="",R62=0),"",MIN(IF(AT62="",9.9E+99,AT62),AK62/R62))</f>
        <v/>
      </c>
      <c r="AO62" s="38">
        <f>IF(AN62="","",AN62*T62)</f>
        <v/>
      </c>
      <c r="AP62" s="40" t="n"/>
      <c r="AQ62" s="32" t="inlineStr">
        <is>
          <t>Grounded</t>
        </is>
      </c>
      <c r="AR62" s="41" t="n"/>
      <c r="AS62" s="41" t="n"/>
      <c r="AT62" s="42" t="n"/>
      <c r="AU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V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W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X62" s="44" t="inlineStr">
        <is>
          <t>handoff/INDIA-ECONOMICS-SIDECAR-V0-2026-06-20.json (andaman)</t>
        </is>
      </c>
      <c r="AY62" s="44" t="inlineStr">
        <is>
          <t>handoff/INDIA-ECONOMICS-SIDECAR-V0-2026-06-20.json (andaman)</t>
        </is>
      </c>
    </row>
    <row r="63">
      <c r="A63" s="29" t="inlineStr">
        <is>
          <t>India Mumbai Rapido</t>
        </is>
      </c>
      <c r="B63" s="29" t="inlineStr">
        <is>
          <t>India</t>
        </is>
      </c>
      <c r="C63" s="30" t="inlineStr">
        <is>
          <t>Bombay Harbour → Pirpau Jetty</t>
        </is>
      </c>
      <c r="D63" s="31" t="n">
        <v>3.4</v>
      </c>
      <c r="E63" s="26" t="n">
        <v>18</v>
      </c>
      <c r="F63" s="32" t="inlineStr">
        <is>
          <t>T3</t>
        </is>
      </c>
      <c r="G63" s="32" t="inlineStr">
        <is>
          <t>med-low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MIN(15,FLOOR(60*service_hr/J63,1))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5000</v>
      </c>
      <c r="AH63" s="32" t="inlineStr">
        <is>
          <t>T3</t>
        </is>
      </c>
      <c r="AI63" s="32" t="inlineStr">
        <is>
          <t>med-low</t>
        </is>
      </c>
      <c r="AJ63" s="39" t="n">
        <v>0.1</v>
      </c>
      <c r="AK63" s="34">
        <f>IF(AG63="","",AG63*AJ63)</f>
        <v/>
      </c>
      <c r="AL63" s="34">
        <f>IF(OR(AG63="",R63=0),"",MIN(IF(AT63="",9.9E+99,AT63),FLOOR(AK63/R63,1)))</f>
        <v/>
      </c>
      <c r="AM63" s="38">
        <f>IF(AL63="","",AL63*T63)</f>
        <v/>
      </c>
      <c r="AN63" s="36">
        <f>IF(OR(AG63="",R63=0),"",MIN(IF(AT63="",9.9E+99,AT63),AK63/R63))</f>
        <v/>
      </c>
      <c r="AO63" s="38">
        <f>IF(AN63="","",AN63*T63)</f>
        <v/>
      </c>
      <c r="AP63" s="40" t="n"/>
      <c r="AQ63" s="32" t="inlineStr">
        <is>
          <t>Grounded</t>
        </is>
      </c>
      <c r="AR63" s="41" t="n"/>
      <c r="AS63" s="41" t="n"/>
      <c r="AT63" s="42" t="n"/>
      <c r="AU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V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W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X63" s="44" t="inlineStr">
        <is>
          <t>[LB-255 PREMIUM RE-FARE: subsidized comparable $5.5 lifted to premium on-demand floor $18.0] handoff/INDIA-ECONOMICS-SIDECAR-V0-2026-06-20.json (mumbai)</t>
        </is>
      </c>
      <c r="AY63" s="44" t="inlineStr">
        <is>
          <t>handoff/INDIA-ECONOMICS-SIDECAR-V0-2026-06-20.json (mumbai)</t>
        </is>
      </c>
    </row>
    <row r="64">
      <c r="A64" s="29" t="inlineStr">
        <is>
          <t>Rapido Mumbai</t>
        </is>
      </c>
      <c r="B64" s="29" t="inlineStr">
        <is>
          <t>India</t>
        </is>
      </c>
      <c r="C64" s="30" t="inlineStr">
        <is>
          <t>Gateway of India → Mumbai Harbour</t>
        </is>
      </c>
      <c r="D64" s="31" t="n">
        <v>3.5</v>
      </c>
      <c r="E64" s="26" t="n"/>
      <c r="F64" s="32" t="inlineStr">
        <is>
          <t>T3</t>
        </is>
      </c>
      <c r="G64" s="32" t="inlineStr">
        <is>
          <t>med-low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MIN(15,FLOOR(60*service_hr/J64,1))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9230</v>
      </c>
      <c r="AH64" s="32" t="inlineStr">
        <is>
          <t>T3</t>
        </is>
      </c>
      <c r="AI64" s="32" t="inlineStr">
        <is>
          <t>med-low</t>
        </is>
      </c>
      <c r="AJ64" s="39" t="n">
        <v>0.1</v>
      </c>
      <c r="AK64" s="34">
        <f>IF(AG64="","",AG64*AJ64)</f>
        <v/>
      </c>
      <c r="AL64" s="34">
        <f>IF(OR(AG64="",R64=0),"",MIN(IF(AT64="",9.9E+99,AT64),FLOOR(AK64/R64,1)))</f>
        <v/>
      </c>
      <c r="AM64" s="38">
        <f>IF(AL64="","",AL64*T64)</f>
        <v/>
      </c>
      <c r="AN64" s="36">
        <f>IF(OR(AG64="",R64=0),"",MIN(IF(AT64="",9.9E+99,AT64),AK64/R64))</f>
        <v/>
      </c>
      <c r="AO64" s="38">
        <f>IF(AN64="","",AN64*T64)</f>
        <v/>
      </c>
      <c r="AP64" s="40" t="n"/>
      <c r="AQ64" s="32" t="inlineStr">
        <is>
          <t>Upside tier</t>
        </is>
      </c>
      <c r="AR64" s="41" t="n"/>
      <c r="AS64" s="41" t="inlineStr">
        <is>
          <t>experience_upside</t>
        </is>
      </c>
      <c r="AT64" s="42" t="n"/>
      <c r="AU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V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W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X64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Y64" s="44" t="inlineStr">
        <is>
          <t>PR #58 Mumbai spine route-count split (13 sealed rows × anchor 120,000 pax/yr)</t>
        </is>
      </c>
    </row>
    <row r="65">
      <c r="A65" s="29" t="inlineStr">
        <is>
          <t>India Andaman Rapido</t>
        </is>
      </c>
      <c r="B65" s="29" t="inlineStr">
        <is>
          <t>India</t>
        </is>
      </c>
      <c r="C65" s="30" t="inlineStr">
        <is>
          <t>Andaman → Chatham Jetty</t>
        </is>
      </c>
      <c r="D65" s="31" t="n">
        <v>3.5</v>
      </c>
      <c r="E65" s="26" t="n">
        <v>22</v>
      </c>
      <c r="F65" s="32" t="inlineStr">
        <is>
          <t>T3</t>
        </is>
      </c>
      <c r="G65" s="32" t="inlineStr">
        <is>
          <t>med-low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MIN(15,FLOOR(60*service_hr/J65,1))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>
        <v>5000</v>
      </c>
      <c r="AH65" s="32" t="inlineStr">
        <is>
          <t>T3</t>
        </is>
      </c>
      <c r="AI65" s="32" t="inlineStr">
        <is>
          <t>med-low</t>
        </is>
      </c>
      <c r="AJ65" s="39" t="n">
        <v>0.1</v>
      </c>
      <c r="AK65" s="34">
        <f>IF(AG65="","",AG65*AJ65)</f>
        <v/>
      </c>
      <c r="AL65" s="34">
        <f>IF(OR(AG65="",R65=0),"",MIN(IF(AT65="",9.9E+99,AT65),FLOOR(AK65/R65,1)))</f>
        <v/>
      </c>
      <c r="AM65" s="38">
        <f>IF(AL65="","",AL65*T65)</f>
        <v/>
      </c>
      <c r="AN65" s="36">
        <f>IF(OR(AG65="",R65=0),"",MIN(IF(AT65="",9.9E+99,AT65),AK65/R65))</f>
        <v/>
      </c>
      <c r="AO65" s="38">
        <f>IF(AN65="","",AN65*T65)</f>
        <v/>
      </c>
      <c r="AP65" s="40" t="n"/>
      <c r="AQ65" s="32" t="inlineStr">
        <is>
          <t>Grounded</t>
        </is>
      </c>
      <c r="AR65" s="41" t="n"/>
      <c r="AS65" s="41" t="n"/>
      <c r="AT65" s="42" t="n"/>
      <c r="AU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V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W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X65" s="44" t="inlineStr">
        <is>
          <t>handoff/INDIA-ECONOMICS-SIDECAR-V0-2026-06-20.json (andaman)</t>
        </is>
      </c>
      <c r="AY65" s="44" t="inlineStr">
        <is>
          <t>handoff/INDIA-ECONOMICS-SIDECAR-V0-2026-06-20.json (andaman)</t>
        </is>
      </c>
    </row>
    <row r="66">
      <c r="A66" s="29" t="inlineStr">
        <is>
          <t>India Andaman Rapido</t>
        </is>
      </c>
      <c r="B66" s="29" t="inlineStr">
        <is>
          <t>India</t>
        </is>
      </c>
      <c r="C66" s="30" t="inlineStr">
        <is>
          <t>Middle Strait Jetty → NK Cruise Terminal</t>
        </is>
      </c>
      <c r="D66" s="31" t="n">
        <v>3.7</v>
      </c>
      <c r="E66" s="26" t="n">
        <v>22</v>
      </c>
      <c r="F66" s="32" t="inlineStr">
        <is>
          <t>T3</t>
        </is>
      </c>
      <c r="G66" s="32" t="inlineStr">
        <is>
          <t>med-low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MIN(15,FLOOR(60*service_hr/J66,1))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>
        <v>5000</v>
      </c>
      <c r="AH66" s="32" t="inlineStr">
        <is>
          <t>T3</t>
        </is>
      </c>
      <c r="AI66" s="32" t="inlineStr">
        <is>
          <t>med-low</t>
        </is>
      </c>
      <c r="AJ66" s="39" t="n">
        <v>0.1</v>
      </c>
      <c r="AK66" s="34">
        <f>IF(AG66="","",AG66*AJ66)</f>
        <v/>
      </c>
      <c r="AL66" s="34">
        <f>IF(OR(AG66="",R66=0),"",MIN(IF(AT66="",9.9E+99,AT66),FLOOR(AK66/R66,1)))</f>
        <v/>
      </c>
      <c r="AM66" s="38">
        <f>IF(AL66="","",AL66*T66)</f>
        <v/>
      </c>
      <c r="AN66" s="36">
        <f>IF(OR(AG66="",R66=0),"",MIN(IF(AT66="",9.9E+99,AT66),AK66/R66))</f>
        <v/>
      </c>
      <c r="AO66" s="38">
        <f>IF(AN66="","",AN66*T66)</f>
        <v/>
      </c>
      <c r="AP66" s="40" t="n"/>
      <c r="AQ66" s="32" t="inlineStr">
        <is>
          <t>Grounded</t>
        </is>
      </c>
      <c r="AR66" s="41" t="n"/>
      <c r="AS66" s="41" t="n"/>
      <c r="AT66" s="42" t="n"/>
      <c r="AU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V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W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X66" s="44" t="inlineStr">
        <is>
          <t>handoff/INDIA-ECONOMICS-SIDECAR-V0-2026-06-20.json (andaman)</t>
        </is>
      </c>
      <c r="AY66" s="44" t="inlineStr">
        <is>
          <t>handoff/INDIA-ECONOMICS-SIDECAR-V0-2026-06-20.json (andaman)</t>
        </is>
      </c>
    </row>
    <row r="67">
      <c r="A67" s="29" t="inlineStr">
        <is>
          <t>Rapido Mumbai</t>
        </is>
      </c>
      <c r="B67" s="29" t="inlineStr">
        <is>
          <t>India</t>
        </is>
      </c>
      <c r="C67" s="30" t="inlineStr">
        <is>
          <t>Mora → Elephanta Caves</t>
        </is>
      </c>
      <c r="D67" s="31" t="n">
        <v>3.8</v>
      </c>
      <c r="E67" s="26" t="n"/>
      <c r="F67" s="32" t="inlineStr">
        <is>
          <t>T3</t>
        </is>
      </c>
      <c r="G67" s="32" t="inlineStr">
        <is>
          <t>med-low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MIN(15,FLOOR(60*service_hr/J67,1))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9230</v>
      </c>
      <c r="AH67" s="32" t="inlineStr">
        <is>
          <t>T3</t>
        </is>
      </c>
      <c r="AI67" s="32" t="inlineStr">
        <is>
          <t>med-low</t>
        </is>
      </c>
      <c r="AJ67" s="39" t="n">
        <v>0.1</v>
      </c>
      <c r="AK67" s="34">
        <f>IF(AG67="","",AG67*AJ67)</f>
        <v/>
      </c>
      <c r="AL67" s="34">
        <f>IF(OR(AG67="",R67=0),"",MIN(IF(AT67="",9.9E+99,AT67),FLOOR(AK67/R67,1)))</f>
        <v/>
      </c>
      <c r="AM67" s="38">
        <f>IF(AL67="","",AL67*T67)</f>
        <v/>
      </c>
      <c r="AN67" s="36">
        <f>IF(OR(AG67="",R67=0),"",MIN(IF(AT67="",9.9E+99,AT67),AK67/R67))</f>
        <v/>
      </c>
      <c r="AO67" s="38">
        <f>IF(AN67="","",AN67*T67)</f>
        <v/>
      </c>
      <c r="AP67" s="40" t="n"/>
      <c r="AQ67" s="32" t="inlineStr">
        <is>
          <t>Upside tier</t>
        </is>
      </c>
      <c r="AR67" s="41" t="n"/>
      <c r="AS67" s="41" t="inlineStr">
        <is>
          <t>experience_upside</t>
        </is>
      </c>
      <c r="AT67" s="42" t="n"/>
      <c r="AU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V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W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X67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Y67" s="44" t="inlineStr">
        <is>
          <t>PR #58 Mumbai spine route-count split (13 sealed rows × anchor 120,000 pax/yr)</t>
        </is>
      </c>
    </row>
    <row r="68">
      <c r="A68" s="29" t="inlineStr">
        <is>
          <t>India Andaman Rapido</t>
        </is>
      </c>
      <c r="B68" s="29" t="inlineStr">
        <is>
          <t>India</t>
        </is>
      </c>
      <c r="C68" s="30" t="inlineStr">
        <is>
          <t>Andaman → Bambooflat Jetty</t>
        </is>
      </c>
      <c r="D68" s="31" t="n">
        <v>4.2</v>
      </c>
      <c r="E68" s="26" t="n">
        <v>22</v>
      </c>
      <c r="F68" s="32" t="inlineStr">
        <is>
          <t>T3</t>
        </is>
      </c>
      <c r="G68" s="32" t="inlineStr">
        <is>
          <t>med-low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MIN(15,FLOOR(60*service_hr/J68,1))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5000</v>
      </c>
      <c r="AH68" s="32" t="inlineStr">
        <is>
          <t>T3</t>
        </is>
      </c>
      <c r="AI68" s="32" t="inlineStr">
        <is>
          <t>med-low</t>
        </is>
      </c>
      <c r="AJ68" s="39" t="n">
        <v>0.1</v>
      </c>
      <c r="AK68" s="34">
        <f>IF(AG68="","",AG68*AJ68)</f>
        <v/>
      </c>
      <c r="AL68" s="34">
        <f>IF(OR(AG68="",R68=0),"",MIN(IF(AT68="",9.9E+99,AT68),FLOOR(AK68/R68,1)))</f>
        <v/>
      </c>
      <c r="AM68" s="38">
        <f>IF(AL68="","",AL68*T68)</f>
        <v/>
      </c>
      <c r="AN68" s="36">
        <f>IF(OR(AG68="",R68=0),"",MIN(IF(AT68="",9.9E+99,AT68),AK68/R68))</f>
        <v/>
      </c>
      <c r="AO68" s="38">
        <f>IF(AN68="","",AN68*T68)</f>
        <v/>
      </c>
      <c r="AP68" s="40" t="n"/>
      <c r="AQ68" s="32" t="inlineStr">
        <is>
          <t>Grounded</t>
        </is>
      </c>
      <c r="AR68" s="41" t="n"/>
      <c r="AS68" s="41" t="n"/>
      <c r="AT68" s="42" t="n"/>
      <c r="AU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V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W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X68" s="44" t="inlineStr">
        <is>
          <t>handoff/INDIA-ECONOMICS-SIDECAR-V0-2026-06-20.json (andaman)</t>
        </is>
      </c>
      <c r="AY68" s="44" t="inlineStr">
        <is>
          <t>handoff/INDIA-ECONOMICS-SIDECAR-V0-2026-06-20.json (andaman)</t>
        </is>
      </c>
    </row>
    <row r="69">
      <c r="A69" s="29" t="inlineStr">
        <is>
          <t>Rapido Mumbai</t>
        </is>
      </c>
      <c r="B69" s="29" t="inlineStr">
        <is>
          <t>India</t>
        </is>
      </c>
      <c r="C69" s="30" t="inlineStr">
        <is>
          <t>BSA Mandwa → Marina Bay Bistro @KARANJA Fishing Dock</t>
        </is>
      </c>
      <c r="D69" s="31" t="n">
        <v>4.5</v>
      </c>
      <c r="E69" s="26" t="n"/>
      <c r="F69" s="32" t="inlineStr">
        <is>
          <t>T3</t>
        </is>
      </c>
      <c r="G69" s="32" t="inlineStr">
        <is>
          <t>med-low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MIN(15,FLOOR(60*service_hr/J69,1))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9230</v>
      </c>
      <c r="AH69" s="32" t="inlineStr">
        <is>
          <t>T3</t>
        </is>
      </c>
      <c r="AI69" s="32" t="inlineStr">
        <is>
          <t>med-low</t>
        </is>
      </c>
      <c r="AJ69" s="39" t="n">
        <v>0.1</v>
      </c>
      <c r="AK69" s="34">
        <f>IF(AG69="","",AG69*AJ69)</f>
        <v/>
      </c>
      <c r="AL69" s="34">
        <f>IF(OR(AG69="",R69=0),"",MIN(IF(AT69="",9.9E+99,AT69),FLOOR(AK69/R69,1)))</f>
        <v/>
      </c>
      <c r="AM69" s="38">
        <f>IF(AL69="","",AL69*T69)</f>
        <v/>
      </c>
      <c r="AN69" s="36">
        <f>IF(OR(AG69="",R69=0),"",MIN(IF(AT69="",9.9E+99,AT69),AK69/R69))</f>
        <v/>
      </c>
      <c r="AO69" s="38">
        <f>IF(AN69="","",AN69*T69)</f>
        <v/>
      </c>
      <c r="AP69" s="40" t="n"/>
      <c r="AQ69" s="32" t="inlineStr">
        <is>
          <t>Upside tier</t>
        </is>
      </c>
      <c r="AR69" s="41" t="n"/>
      <c r="AS69" s="41" t="inlineStr">
        <is>
          <t>experience_upside</t>
        </is>
      </c>
      <c r="AT69" s="42" t="n"/>
      <c r="AU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V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W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X69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Y69" s="44" t="inlineStr">
        <is>
          <t>PR #58 Mumbai spine route-count split (13 sealed rows × anchor 120,000 pax/yr)</t>
        </is>
      </c>
    </row>
    <row r="70">
      <c r="A70" s="29" t="inlineStr">
        <is>
          <t>Rapido Mumbai</t>
        </is>
      </c>
      <c r="B70" s="29" t="inlineStr">
        <is>
          <t>India</t>
        </is>
      </c>
      <c r="C70" s="30" t="inlineStr">
        <is>
          <t>Mandwa Jetty → Mumbai Harbour</t>
        </is>
      </c>
      <c r="D70" s="31" t="n">
        <v>4.6</v>
      </c>
      <c r="E70" s="26" t="n"/>
      <c r="F70" s="32" t="inlineStr">
        <is>
          <t>T3</t>
        </is>
      </c>
      <c r="G70" s="32" t="inlineStr">
        <is>
          <t>med-low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MIN(15,FLOOR(60*service_hr/J70,1))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9230</v>
      </c>
      <c r="AH70" s="32" t="inlineStr">
        <is>
          <t>T3</t>
        </is>
      </c>
      <c r="AI70" s="32" t="inlineStr">
        <is>
          <t>med-low</t>
        </is>
      </c>
      <c r="AJ70" s="39" t="n">
        <v>0.1</v>
      </c>
      <c r="AK70" s="34">
        <f>IF(AG70="","",AG70*AJ70)</f>
        <v/>
      </c>
      <c r="AL70" s="34">
        <f>IF(OR(AG70="",R70=0),"",MIN(IF(AT70="",9.9E+99,AT70),FLOOR(AK70/R70,1)))</f>
        <v/>
      </c>
      <c r="AM70" s="38">
        <f>IF(AL70="","",AL70*T70)</f>
        <v/>
      </c>
      <c r="AN70" s="36">
        <f>IF(OR(AG70="",R70=0),"",MIN(IF(AT70="",9.9E+99,AT70),AK70/R70))</f>
        <v/>
      </c>
      <c r="AO70" s="38">
        <f>IF(AN70="","",AN70*T70)</f>
        <v/>
      </c>
      <c r="AP70" s="40" t="n"/>
      <c r="AQ70" s="32" t="inlineStr">
        <is>
          <t>Upside tier</t>
        </is>
      </c>
      <c r="AR70" s="41" t="n"/>
      <c r="AS70" s="41" t="inlineStr">
        <is>
          <t>experience_upside</t>
        </is>
      </c>
      <c r="AT70" s="42" t="n"/>
      <c r="AU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V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W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X7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Y70" s="44" t="inlineStr">
        <is>
          <t>PR #58 Mumbai spine route-count split (13 sealed rows × anchor 120,000 pax/yr)</t>
        </is>
      </c>
    </row>
    <row r="71">
      <c r="A71" s="29" t="inlineStr">
        <is>
          <t>India Goa Rapido</t>
        </is>
      </c>
      <c r="B71" s="29" t="inlineStr">
        <is>
          <t>India</t>
        </is>
      </c>
      <c r="C71" s="30" t="inlineStr">
        <is>
          <t>Villa Marina → Mole</t>
        </is>
      </c>
      <c r="D71" s="31" t="n">
        <v>4.9</v>
      </c>
      <c r="E71" s="26" t="n">
        <v>8</v>
      </c>
      <c r="F71" s="32" t="inlineStr">
        <is>
          <t>T3</t>
        </is>
      </c>
      <c r="G71" s="32" t="inlineStr">
        <is>
          <t>med-low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MIN(15,FLOOR(60*service_hr/J71,1))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>
        <v>11250</v>
      </c>
      <c r="AH71" s="32" t="inlineStr">
        <is>
          <t>T3</t>
        </is>
      </c>
      <c r="AI71" s="32" t="inlineStr">
        <is>
          <t>med-low</t>
        </is>
      </c>
      <c r="AJ71" s="39" t="n">
        <v>0.1</v>
      </c>
      <c r="AK71" s="34">
        <f>IF(AG71="","",AG71*AJ71)</f>
        <v/>
      </c>
      <c r="AL71" s="34">
        <f>IF(OR(AG71="",R71=0),"",MIN(IF(AT71="",9.9E+99,AT71),FLOOR(AK71/R71,1)))</f>
        <v/>
      </c>
      <c r="AM71" s="38">
        <f>IF(AL71="","",AL71*T71)</f>
        <v/>
      </c>
      <c r="AN71" s="36">
        <f>IF(OR(AG71="",R71=0),"",MIN(IF(AT71="",9.9E+99,AT71),AK71/R71))</f>
        <v/>
      </c>
      <c r="AO71" s="38">
        <f>IF(AN71="","",AN71*T71)</f>
        <v/>
      </c>
      <c r="AP71" s="40" t="n"/>
      <c r="AQ71" s="32" t="inlineStr">
        <is>
          <t>Grounded</t>
        </is>
      </c>
      <c r="AR71" s="41" t="n"/>
      <c r="AS71" s="41" t="n"/>
      <c r="AT71" s="42" t="n"/>
      <c r="AU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V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W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X71" s="44" t="inlineStr">
        <is>
          <t>handoff/INDIA-ECONOMICS-SIDECAR-V0-2026-06-20.json (goa)</t>
        </is>
      </c>
      <c r="AY71" s="44" t="inlineStr">
        <is>
          <t>handoff/INDIA-ECONOMICS-SIDECAR-V0-2026-06-20.json (goa)</t>
        </is>
      </c>
    </row>
    <row r="72">
      <c r="A72" s="29" t="inlineStr">
        <is>
          <t>India Mumbai Rapido</t>
        </is>
      </c>
      <c r="B72" s="29" t="inlineStr">
        <is>
          <t>India</t>
        </is>
      </c>
      <c r="C72" s="30" t="inlineStr">
        <is>
          <t>Marina Bay Bistro @KARANJA Fishing Dock → Harbour view villa by 29 bungalow</t>
        </is>
      </c>
      <c r="D72" s="31" t="n">
        <v>5.4</v>
      </c>
      <c r="E72" s="26" t="n">
        <v>18</v>
      </c>
      <c r="F72" s="32" t="inlineStr">
        <is>
          <t>T3</t>
        </is>
      </c>
      <c r="G72" s="32" t="inlineStr">
        <is>
          <t>med-low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MIN(15,FLOOR(60*service_hr/J72,1))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>
        <v>5000</v>
      </c>
      <c r="AH72" s="32" t="inlineStr">
        <is>
          <t>T3</t>
        </is>
      </c>
      <c r="AI72" s="32" t="inlineStr">
        <is>
          <t>med-low</t>
        </is>
      </c>
      <c r="AJ72" s="39" t="n">
        <v>0.1</v>
      </c>
      <c r="AK72" s="34">
        <f>IF(AG72="","",AG72*AJ72)</f>
        <v/>
      </c>
      <c r="AL72" s="34">
        <f>IF(OR(AG72="",R72=0),"",MIN(IF(AT72="",9.9E+99,AT72),FLOOR(AK72/R72,1)))</f>
        <v/>
      </c>
      <c r="AM72" s="38">
        <f>IF(AL72="","",AL72*T72)</f>
        <v/>
      </c>
      <c r="AN72" s="36">
        <f>IF(OR(AG72="",R72=0),"",MIN(IF(AT72="",9.9E+99,AT72),AK72/R72))</f>
        <v/>
      </c>
      <c r="AO72" s="38">
        <f>IF(AN72="","",AN72*T72)</f>
        <v/>
      </c>
      <c r="AP72" s="40" t="n"/>
      <c r="AQ72" s="32" t="inlineStr">
        <is>
          <t>Grounded</t>
        </is>
      </c>
      <c r="AR72" s="41" t="n"/>
      <c r="AS72" s="41" t="n"/>
      <c r="AT72" s="42" t="n"/>
      <c r="AU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V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W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X72" s="44" t="inlineStr">
        <is>
          <t>[LB-255 PREMIUM RE-FARE: subsidized comparable $5.5 lifted to premium on-demand floor $18.0] handoff/INDIA-ECONOMICS-SIDECAR-V0-2026-06-20.json (mumbai)</t>
        </is>
      </c>
      <c r="AY72" s="44" t="inlineStr">
        <is>
          <t>handoff/INDIA-ECONOMICS-SIDECAR-V0-2026-06-20.json (mumbai)</t>
        </is>
      </c>
    </row>
    <row r="73">
      <c r="A73" s="29" t="inlineStr">
        <is>
          <t>Rapido Mumbai</t>
        </is>
      </c>
      <c r="B73" s="29" t="inlineStr">
        <is>
          <t>India</t>
        </is>
      </c>
      <c r="C73" s="30" t="inlineStr">
        <is>
          <t>Elephanta Caves → Mumbai Trans-Harbour Navi Mumbai Toll Plaza</t>
        </is>
      </c>
      <c r="D73" s="31" t="n">
        <v>5.6</v>
      </c>
      <c r="E73" s="26" t="n"/>
      <c r="F73" s="32" t="inlineStr">
        <is>
          <t>T3</t>
        </is>
      </c>
      <c r="G73" s="32" t="inlineStr">
        <is>
          <t>med-low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MIN(15,FLOOR(60*service_hr/J73,1))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9230</v>
      </c>
      <c r="AH73" s="32" t="inlineStr">
        <is>
          <t>T3</t>
        </is>
      </c>
      <c r="AI73" s="32" t="inlineStr">
        <is>
          <t>med-low</t>
        </is>
      </c>
      <c r="AJ73" s="39" t="n">
        <v>0.1</v>
      </c>
      <c r="AK73" s="34">
        <f>IF(AG73="","",AG73*AJ73)</f>
        <v/>
      </c>
      <c r="AL73" s="34">
        <f>IF(OR(AG73="",R73=0),"",MIN(IF(AT73="",9.9E+99,AT73),FLOOR(AK73/R73,1)))</f>
        <v/>
      </c>
      <c r="AM73" s="38">
        <f>IF(AL73="","",AL73*T73)</f>
        <v/>
      </c>
      <c r="AN73" s="36">
        <f>IF(OR(AG73="",R73=0),"",MIN(IF(AT73="",9.9E+99,AT73),AK73/R73))</f>
        <v/>
      </c>
      <c r="AO73" s="38">
        <f>IF(AN73="","",AN73*T73)</f>
        <v/>
      </c>
      <c r="AP73" s="40" t="n"/>
      <c r="AQ73" s="32" t="inlineStr">
        <is>
          <t>Upside tier</t>
        </is>
      </c>
      <c r="AR73" s="41" t="n"/>
      <c r="AS73" s="41" t="inlineStr">
        <is>
          <t>experience_upside</t>
        </is>
      </c>
      <c r="AT73" s="42" t="n"/>
      <c r="AU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V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W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X73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Y73" s="44" t="inlineStr">
        <is>
          <t>PR #58 Mumbai spine route-count split (13 sealed rows × anchor 120,000 pax/yr)</t>
        </is>
      </c>
    </row>
    <row r="74">
      <c r="A74" s="29" t="inlineStr">
        <is>
          <t>India Goa Rapido</t>
        </is>
      </c>
      <c r="B74" s="29" t="inlineStr">
        <is>
          <t>India</t>
        </is>
      </c>
      <c r="C74" s="30" t="inlineStr">
        <is>
          <t>Goveia Marina → LifeOnYachts Goa</t>
        </is>
      </c>
      <c r="D74" s="31" t="n">
        <v>5.8</v>
      </c>
      <c r="E74" s="26" t="n">
        <v>8</v>
      </c>
      <c r="F74" s="32" t="inlineStr">
        <is>
          <t>T3</t>
        </is>
      </c>
      <c r="G74" s="32" t="inlineStr">
        <is>
          <t>med-low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MIN(15,FLOOR(60*service_hr/J74,1))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11250</v>
      </c>
      <c r="AH74" s="32" t="inlineStr">
        <is>
          <t>T3</t>
        </is>
      </c>
      <c r="AI74" s="32" t="inlineStr">
        <is>
          <t>med-low</t>
        </is>
      </c>
      <c r="AJ74" s="39" t="n">
        <v>0.1</v>
      </c>
      <c r="AK74" s="34">
        <f>IF(AG74="","",AG74*AJ74)</f>
        <v/>
      </c>
      <c r="AL74" s="34">
        <f>IF(OR(AG74="",R74=0),"",MIN(IF(AT74="",9.9E+99,AT74),FLOOR(AK74/R74,1)))</f>
        <v/>
      </c>
      <c r="AM74" s="38">
        <f>IF(AL74="","",AL74*T74)</f>
        <v/>
      </c>
      <c r="AN74" s="36">
        <f>IF(OR(AG74="",R74=0),"",MIN(IF(AT74="",9.9E+99,AT74),AK74/R74))</f>
        <v/>
      </c>
      <c r="AO74" s="38">
        <f>IF(AN74="","",AN74*T74)</f>
        <v/>
      </c>
      <c r="AP74" s="40" t="n"/>
      <c r="AQ74" s="32" t="inlineStr">
        <is>
          <t>Grounded</t>
        </is>
      </c>
      <c r="AR74" s="41" t="n"/>
      <c r="AS74" s="41" t="n"/>
      <c r="AT74" s="42" t="n"/>
      <c r="AU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V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W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X74" s="44" t="inlineStr">
        <is>
          <t>handoff/INDIA-ECONOMICS-SIDECAR-V0-2026-06-20.json (goa)</t>
        </is>
      </c>
      <c r="AY74" s="44" t="inlineStr">
        <is>
          <t>handoff/INDIA-ECONOMICS-SIDECAR-V0-2026-06-20.json (goa)</t>
        </is>
      </c>
    </row>
    <row r="75">
      <c r="A75" s="29" t="inlineStr">
        <is>
          <t>India Kerala Rapido</t>
        </is>
      </c>
      <c r="B75" s="29" t="inlineStr">
        <is>
          <t>India</t>
        </is>
      </c>
      <c r="C75" s="30" t="inlineStr">
        <is>
          <t>Keltron Ferry → Chellanam Harbour Kochi</t>
        </is>
      </c>
      <c r="D75" s="31" t="n">
        <v>5.8</v>
      </c>
      <c r="E75" s="26" t="n">
        <v>18</v>
      </c>
      <c r="F75" s="32" t="inlineStr">
        <is>
          <t>T3</t>
        </is>
      </c>
      <c r="G75" s="32" t="inlineStr">
        <is>
          <t>med-low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MIN(15,FLOOR(60*service_hr/J75,1))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>
        <v>29166</v>
      </c>
      <c r="AH75" s="32" t="inlineStr">
        <is>
          <t>T3</t>
        </is>
      </c>
      <c r="AI75" s="32" t="inlineStr">
        <is>
          <t>med-low</t>
        </is>
      </c>
      <c r="AJ75" s="39" t="n">
        <v>0.1</v>
      </c>
      <c r="AK75" s="34">
        <f>IF(AG75="","",AG75*AJ75)</f>
        <v/>
      </c>
      <c r="AL75" s="34">
        <f>IF(OR(AG75="",R75=0),"",MIN(IF(AT75="",9.9E+99,AT75),FLOOR(AK75/R75,1)))</f>
        <v/>
      </c>
      <c r="AM75" s="38">
        <f>IF(AL75="","",AL75*T75)</f>
        <v/>
      </c>
      <c r="AN75" s="36">
        <f>IF(OR(AG75="",R75=0),"",MIN(IF(AT75="",9.9E+99,AT75),AK75/R75))</f>
        <v/>
      </c>
      <c r="AO75" s="38">
        <f>IF(AN75="","",AN75*T75)</f>
        <v/>
      </c>
      <c r="AP75" s="40" t="n"/>
      <c r="AQ75" s="32" t="inlineStr">
        <is>
          <t>Grounded</t>
        </is>
      </c>
      <c r="AR75" s="41" t="n"/>
      <c r="AS75" s="41" t="n"/>
      <c r="AT75" s="42" t="n"/>
      <c r="AU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V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W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X75" s="44" t="inlineStr">
        <is>
          <t>[LB-255 PREMIUM RE-FARE: subsidized comparable $3.5 lifted to premium on-demand floor $18.0] handoff/INDIA-ECONOMICS-SIDECAR-V0-2026-06-20.json (kerala)</t>
        </is>
      </c>
      <c r="AY75" s="44" t="inlineStr">
        <is>
          <t>handoff/INDIA-ECONOMICS-SIDECAR-V0-2026-06-20.json (kerala)</t>
        </is>
      </c>
    </row>
    <row r="76">
      <c r="A76" s="29" t="inlineStr">
        <is>
          <t>Rapido Mumbai</t>
        </is>
      </c>
      <c r="B76" s="29" t="inlineStr">
        <is>
          <t>India</t>
        </is>
      </c>
      <c r="C76" s="30" t="inlineStr">
        <is>
          <t>JNPT Ferry Service → Mumbai Trans-Harbour Navi Mumbai Toll Plaza</t>
        </is>
      </c>
      <c r="D76" s="31" t="n">
        <v>5.9</v>
      </c>
      <c r="E76" s="26" t="n"/>
      <c r="F76" s="32" t="inlineStr">
        <is>
          <t>T3</t>
        </is>
      </c>
      <c r="G76" s="32" t="inlineStr">
        <is>
          <t>med-low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MIN(15,FLOOR(60*service_hr/J76,1))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>
        <v>9230</v>
      </c>
      <c r="AH76" s="32" t="inlineStr">
        <is>
          <t>T3</t>
        </is>
      </c>
      <c r="AI76" s="32" t="inlineStr">
        <is>
          <t>med-low</t>
        </is>
      </c>
      <c r="AJ76" s="39" t="n">
        <v>0.1</v>
      </c>
      <c r="AK76" s="34">
        <f>IF(AG76="","",AG76*AJ76)</f>
        <v/>
      </c>
      <c r="AL76" s="34">
        <f>IF(OR(AG76="",R76=0),"",MIN(IF(AT76="",9.9E+99,AT76),FLOOR(AK76/R76,1)))</f>
        <v/>
      </c>
      <c r="AM76" s="38">
        <f>IF(AL76="","",AL76*T76)</f>
        <v/>
      </c>
      <c r="AN76" s="36">
        <f>IF(OR(AG76="",R76=0),"",MIN(IF(AT76="",9.9E+99,AT76),AK76/R76))</f>
        <v/>
      </c>
      <c r="AO76" s="38">
        <f>IF(AN76="","",AN76*T76)</f>
        <v/>
      </c>
      <c r="AP76" s="40" t="n"/>
      <c r="AQ76" s="32" t="inlineStr">
        <is>
          <t>Upside tier</t>
        </is>
      </c>
      <c r="AR76" s="41" t="n"/>
      <c r="AS76" s="41" t="inlineStr">
        <is>
          <t>experience_upside</t>
        </is>
      </c>
      <c r="AT76" s="42" t="n"/>
      <c r="AU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V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W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X76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Y76" s="44" t="inlineStr">
        <is>
          <t>PR #58 Mumbai spine route-count split (13 sealed rows × anchor 120,000 pax/yr)</t>
        </is>
      </c>
    </row>
    <row r="77">
      <c r="A77" s="29" t="inlineStr">
        <is>
          <t>Rapido Mumbai</t>
        </is>
      </c>
      <c r="B77" s="29" t="inlineStr">
        <is>
          <t>India</t>
        </is>
      </c>
      <c r="C77" s="30" t="inlineStr">
        <is>
          <t>Pirpau Jetty → Mumbai Trans-Harbour Navi Mumbai Toll Plaza</t>
        </is>
      </c>
      <c r="D77" s="31" t="n">
        <v>6.2</v>
      </c>
      <c r="E77" s="26" t="n"/>
      <c r="F77" s="32" t="inlineStr">
        <is>
          <t>T3</t>
        </is>
      </c>
      <c r="G77" s="32" t="inlineStr">
        <is>
          <t>med-low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>
        <v>9230</v>
      </c>
      <c r="AH77" s="32" t="inlineStr">
        <is>
          <t>T3</t>
        </is>
      </c>
      <c r="AI77" s="32" t="inlineStr">
        <is>
          <t>med-low</t>
        </is>
      </c>
      <c r="AJ77" s="39" t="n">
        <v>0.1</v>
      </c>
      <c r="AK77" s="34">
        <f>IF(AG77="","",AG77*AJ77)</f>
        <v/>
      </c>
      <c r="AL77" s="34">
        <f>IF(OR(AG77="",R77=0),"",MIN(IF(AT77="",9.9E+99,AT77),FLOOR(AK77/R77,1)))</f>
        <v/>
      </c>
      <c r="AM77" s="38">
        <f>IF(AL77="","",AL77*T77)</f>
        <v/>
      </c>
      <c r="AN77" s="36">
        <f>IF(OR(AG77="",R77=0),"",MIN(IF(AT77="",9.9E+99,AT77),AK77/R77))</f>
        <v/>
      </c>
      <c r="AO77" s="38">
        <f>IF(AN77="","",AN77*T77)</f>
        <v/>
      </c>
      <c r="AP77" s="40" t="n"/>
      <c r="AQ77" s="32" t="inlineStr">
        <is>
          <t>Upside tier</t>
        </is>
      </c>
      <c r="AR77" s="41" t="n"/>
      <c r="AS77" s="41" t="inlineStr">
        <is>
          <t>experience_upside</t>
        </is>
      </c>
      <c r="AT77" s="42" t="n"/>
      <c r="AU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V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W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X77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Y77" s="44" t="inlineStr">
        <is>
          <t>PR #58 Mumbai spine route-count split (13 sealed rows × anchor 120,000 pax/yr)</t>
        </is>
      </c>
    </row>
    <row r="78">
      <c r="A78" s="29" t="inlineStr">
        <is>
          <t>India Mumbai Rapido</t>
        </is>
      </c>
      <c r="B78" s="29" t="inlineStr">
        <is>
          <t>India</t>
        </is>
      </c>
      <c r="C78" s="30" t="inlineStr">
        <is>
          <t>Mora → Marina Bay Bistro @KARANJA Fishing Dock</t>
        </is>
      </c>
      <c r="D78" s="31" t="n">
        <v>6.7</v>
      </c>
      <c r="E78" s="26" t="n">
        <v>18</v>
      </c>
      <c r="F78" s="32" t="inlineStr">
        <is>
          <t>T3</t>
        </is>
      </c>
      <c r="G78" s="32" t="inlineStr">
        <is>
          <t>med-low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>
        <v>5000</v>
      </c>
      <c r="AH78" s="32" t="inlineStr">
        <is>
          <t>T3</t>
        </is>
      </c>
      <c r="AI78" s="32" t="inlineStr">
        <is>
          <t>med-low</t>
        </is>
      </c>
      <c r="AJ78" s="39" t="n">
        <v>0.1</v>
      </c>
      <c r="AK78" s="34">
        <f>IF(AG78="","",AG78*AJ78)</f>
        <v/>
      </c>
      <c r="AL78" s="34">
        <f>IF(OR(AG78="",R78=0),"",MIN(IF(AT78="",9.9E+99,AT78),FLOOR(AK78/R78,1)))</f>
        <v/>
      </c>
      <c r="AM78" s="38">
        <f>IF(AL78="","",AL78*T78)</f>
        <v/>
      </c>
      <c r="AN78" s="36">
        <f>IF(OR(AG78="",R78=0),"",MIN(IF(AT78="",9.9E+99,AT78),AK78/R78))</f>
        <v/>
      </c>
      <c r="AO78" s="38">
        <f>IF(AN78="","",AN78*T78)</f>
        <v/>
      </c>
      <c r="AP78" s="40" t="n"/>
      <c r="AQ78" s="32" t="inlineStr">
        <is>
          <t>Grounded</t>
        </is>
      </c>
      <c r="AR78" s="41" t="n"/>
      <c r="AS78" s="41" t="n"/>
      <c r="AT78" s="42" t="n"/>
      <c r="AU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V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W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X78" s="44" t="inlineStr">
        <is>
          <t>[LB-255 PREMIUM RE-FARE: subsidized comparable $5.5 lifted to premium on-demand floor $18.0] handoff/INDIA-ECONOMICS-SIDECAR-V0-2026-06-20.json (mumbai)</t>
        </is>
      </c>
      <c r="AY78" s="44" t="inlineStr">
        <is>
          <t>handoff/INDIA-ECONOMICS-SIDECAR-V0-2026-06-20.json (mumbai)</t>
        </is>
      </c>
    </row>
    <row r="79">
      <c r="A79" s="29" t="inlineStr">
        <is>
          <t>India Goa Rapido</t>
        </is>
      </c>
      <c r="B79" s="29" t="inlineStr">
        <is>
          <t>India</t>
        </is>
      </c>
      <c r="C79" s="30" t="inlineStr">
        <is>
          <t>Villa Marina → Marina Russian B2B Thai Spa Service near me</t>
        </is>
      </c>
      <c r="D79" s="31" t="n">
        <v>6.7</v>
      </c>
      <c r="E79" s="26" t="n">
        <v>8</v>
      </c>
      <c r="F79" s="32" t="inlineStr">
        <is>
          <t>T3</t>
        </is>
      </c>
      <c r="G79" s="32" t="inlineStr">
        <is>
          <t>med-low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>
        <v>11250</v>
      </c>
      <c r="AH79" s="32" t="inlineStr">
        <is>
          <t>T3</t>
        </is>
      </c>
      <c r="AI79" s="32" t="inlineStr">
        <is>
          <t>med-low</t>
        </is>
      </c>
      <c r="AJ79" s="39" t="n">
        <v>0.1</v>
      </c>
      <c r="AK79" s="34">
        <f>IF(AG79="","",AG79*AJ79)</f>
        <v/>
      </c>
      <c r="AL79" s="34">
        <f>IF(OR(AG79="",R79=0),"",MIN(IF(AT79="",9.9E+99,AT79),FLOOR(AK79/R79,1)))</f>
        <v/>
      </c>
      <c r="AM79" s="38">
        <f>IF(AL79="","",AL79*T79)</f>
        <v/>
      </c>
      <c r="AN79" s="36">
        <f>IF(OR(AG79="",R79=0),"",MIN(IF(AT79="",9.9E+99,AT79),AK79/R79))</f>
        <v/>
      </c>
      <c r="AO79" s="38">
        <f>IF(AN79="","",AN79*T79)</f>
        <v/>
      </c>
      <c r="AP79" s="40" t="n"/>
      <c r="AQ79" s="32" t="inlineStr">
        <is>
          <t>Grounded</t>
        </is>
      </c>
      <c r="AR79" s="41" t="n"/>
      <c r="AS79" s="41" t="n"/>
      <c r="AT79" s="42" t="n"/>
      <c r="AU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V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W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X79" s="44" t="inlineStr">
        <is>
          <t>handoff/INDIA-ECONOMICS-SIDECAR-V0-2026-06-20.json (goa)</t>
        </is>
      </c>
      <c r="AY79" s="44" t="inlineStr">
        <is>
          <t>handoff/INDIA-ECONOMICS-SIDECAR-V0-2026-06-20.json (goa)</t>
        </is>
      </c>
    </row>
    <row r="80">
      <c r="A80" s="29" t="inlineStr">
        <is>
          <t>India Kerala Rapido</t>
        </is>
      </c>
      <c r="B80" s="29" t="inlineStr">
        <is>
          <t>India</t>
        </is>
      </c>
      <c r="C80" s="30" t="inlineStr">
        <is>
          <t>Willingdon Island → Kerala Backwaters &amp; Kochi</t>
        </is>
      </c>
      <c r="D80" s="31" t="n">
        <v>6.8</v>
      </c>
      <c r="E80" s="26" t="n">
        <v>18</v>
      </c>
      <c r="F80" s="32" t="inlineStr">
        <is>
          <t>T3</t>
        </is>
      </c>
      <c r="G80" s="32" t="inlineStr">
        <is>
          <t>med-low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MIN(15,FLOOR(60*service_hr/J80,1))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29166</v>
      </c>
      <c r="AH80" s="32" t="inlineStr">
        <is>
          <t>T3</t>
        </is>
      </c>
      <c r="AI80" s="32" t="inlineStr">
        <is>
          <t>med-low</t>
        </is>
      </c>
      <c r="AJ80" s="39" t="n">
        <v>0.1</v>
      </c>
      <c r="AK80" s="34">
        <f>IF(AG80="","",AG80*AJ80)</f>
        <v/>
      </c>
      <c r="AL80" s="34">
        <f>IF(OR(AG80="",R80=0),"",MIN(IF(AT80="",9.9E+99,AT80),FLOOR(AK80/R80,1)))</f>
        <v/>
      </c>
      <c r="AM80" s="38">
        <f>IF(AL80="","",AL80*T80)</f>
        <v/>
      </c>
      <c r="AN80" s="36">
        <f>IF(OR(AG80="",R80=0),"",MIN(IF(AT80="",9.9E+99,AT80),AK80/R80))</f>
        <v/>
      </c>
      <c r="AO80" s="38">
        <f>IF(AN80="","",AN80*T80)</f>
        <v/>
      </c>
      <c r="AP80" s="40" t="n"/>
      <c r="AQ80" s="32" t="inlineStr">
        <is>
          <t>Grounded</t>
        </is>
      </c>
      <c r="AR80" s="41" t="n"/>
      <c r="AS80" s="41" t="n"/>
      <c r="AT80" s="42" t="n"/>
      <c r="AU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V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W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X80" s="44" t="inlineStr">
        <is>
          <t>[LB-255 PREMIUM RE-FARE: subsidized comparable $3.5 lifted to premium on-demand floor $18.0] handoff/INDIA-ECONOMICS-SIDECAR-V0-2026-06-20.json (kerala)</t>
        </is>
      </c>
      <c r="AY80" s="44" t="inlineStr">
        <is>
          <t>handoff/INDIA-ECONOMICS-SIDECAR-V0-2026-06-20.json (kerala)</t>
        </is>
      </c>
    </row>
    <row r="81">
      <c r="A81" s="29" t="inlineStr">
        <is>
          <t>India Goa Rapido</t>
        </is>
      </c>
      <c r="B81" s="29" t="inlineStr">
        <is>
          <t>India</t>
        </is>
      </c>
      <c r="C81" s="30" t="inlineStr">
        <is>
          <t>Marina Russian B2B Thai Spa Service near me → Goveia Marina</t>
        </is>
      </c>
      <c r="D81" s="31" t="n">
        <v>7.5</v>
      </c>
      <c r="E81" s="26" t="n">
        <v>8</v>
      </c>
      <c r="F81" s="32" t="inlineStr">
        <is>
          <t>T3</t>
        </is>
      </c>
      <c r="G81" s="32" t="inlineStr">
        <is>
          <t>med-low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MIN(15,FLOOR(60*service_hr/J81,1))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11250</v>
      </c>
      <c r="AH81" s="32" t="inlineStr">
        <is>
          <t>T3</t>
        </is>
      </c>
      <c r="AI81" s="32" t="inlineStr">
        <is>
          <t>med-low</t>
        </is>
      </c>
      <c r="AJ81" s="39" t="n">
        <v>0.1</v>
      </c>
      <c r="AK81" s="34">
        <f>IF(AG81="","",AG81*AJ81)</f>
        <v/>
      </c>
      <c r="AL81" s="34">
        <f>IF(OR(AG81="",R81=0),"",MIN(IF(AT81="",9.9E+99,AT81),FLOOR(AK81/R81,1)))</f>
        <v/>
      </c>
      <c r="AM81" s="38">
        <f>IF(AL81="","",AL81*T81)</f>
        <v/>
      </c>
      <c r="AN81" s="36">
        <f>IF(OR(AG81="",R81=0),"",MIN(IF(AT81="",9.9E+99,AT81),AK81/R81))</f>
        <v/>
      </c>
      <c r="AO81" s="38">
        <f>IF(AN81="","",AN81*T81)</f>
        <v/>
      </c>
      <c r="AP81" s="40" t="n"/>
      <c r="AQ81" s="32" t="inlineStr">
        <is>
          <t>Grounded</t>
        </is>
      </c>
      <c r="AR81" s="41" t="n"/>
      <c r="AS81" s="41" t="n"/>
      <c r="AT81" s="42" t="n"/>
      <c r="AU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V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W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X81" s="44" t="inlineStr">
        <is>
          <t>handoff/INDIA-ECONOMICS-SIDECAR-V0-2026-06-20.json (goa)</t>
        </is>
      </c>
      <c r="AY81" s="44" t="inlineStr">
        <is>
          <t>handoff/INDIA-ECONOMICS-SIDECAR-V0-2026-06-20.json (goa)</t>
        </is>
      </c>
    </row>
    <row r="82">
      <c r="A82" s="29" t="inlineStr">
        <is>
          <t>Rapido Mumbai</t>
        </is>
      </c>
      <c r="B82" s="29" t="inlineStr">
        <is>
          <t>India</t>
        </is>
      </c>
      <c r="C82" s="30" t="inlineStr">
        <is>
          <t>Mumbai Harbour → Mandwa Jetty</t>
        </is>
      </c>
      <c r="D82" s="31" t="n">
        <v>7.9</v>
      </c>
      <c r="E82" s="26" t="n"/>
      <c r="F82" s="32" t="inlineStr">
        <is>
          <t>T3</t>
        </is>
      </c>
      <c r="G82" s="32" t="inlineStr">
        <is>
          <t>med-low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MIN(15,FLOOR(60*service_hr/J82,1))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9230</v>
      </c>
      <c r="AH82" s="32" t="inlineStr">
        <is>
          <t>T3</t>
        </is>
      </c>
      <c r="AI82" s="32" t="inlineStr">
        <is>
          <t>med-low</t>
        </is>
      </c>
      <c r="AJ82" s="39" t="n">
        <v>0.1</v>
      </c>
      <c r="AK82" s="34">
        <f>IF(AG82="","",AG82*AJ82)</f>
        <v/>
      </c>
      <c r="AL82" s="34">
        <f>IF(OR(AG82="",R82=0),"",MIN(IF(AT82="",9.9E+99,AT82),FLOOR(AK82/R82,1)))</f>
        <v/>
      </c>
      <c r="AM82" s="38">
        <f>IF(AL82="","",AL82*T82)</f>
        <v/>
      </c>
      <c r="AN82" s="36">
        <f>IF(OR(AG82="",R82=0),"",MIN(IF(AT82="",9.9E+99,AT82),AK82/R82))</f>
        <v/>
      </c>
      <c r="AO82" s="38">
        <f>IF(AN82="","",AN82*T82)</f>
        <v/>
      </c>
      <c r="AP82" s="40" t="n"/>
      <c r="AQ82" s="32" t="inlineStr">
        <is>
          <t>Upside tier</t>
        </is>
      </c>
      <c r="AR82" s="41" t="n"/>
      <c r="AS82" s="41" t="inlineStr">
        <is>
          <t>experience_upside</t>
        </is>
      </c>
      <c r="AT82" s="42" t="n"/>
      <c r="AU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V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W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X82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Y82" s="44" t="inlineStr">
        <is>
          <t>PR #58 Mumbai spine route-count split (13 sealed rows × anchor 120,000 pax/yr)</t>
        </is>
      </c>
    </row>
    <row r="83">
      <c r="A83" s="29" t="inlineStr">
        <is>
          <t>India Andaman Rapido</t>
        </is>
      </c>
      <c r="B83" s="29" t="inlineStr">
        <is>
          <t>India</t>
        </is>
      </c>
      <c r="C83" s="30" t="inlineStr">
        <is>
          <t>Bambooflat Jetty → Game Fishing In Andaman | Bite Me Charter | Best Sport fishing in Andaman Islands</t>
        </is>
      </c>
      <c r="D83" s="31" t="n">
        <v>8.4</v>
      </c>
      <c r="E83" s="26" t="n">
        <v>22</v>
      </c>
      <c r="F83" s="32" t="inlineStr">
        <is>
          <t>T3</t>
        </is>
      </c>
      <c r="G83" s="32" t="inlineStr">
        <is>
          <t>med-low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MIN(15,FLOOR(60*service_hr/J83,1))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5000</v>
      </c>
      <c r="AH83" s="32" t="inlineStr">
        <is>
          <t>T3</t>
        </is>
      </c>
      <c r="AI83" s="32" t="inlineStr">
        <is>
          <t>med-low</t>
        </is>
      </c>
      <c r="AJ83" s="39" t="n">
        <v>0.1</v>
      </c>
      <c r="AK83" s="34">
        <f>IF(AG83="","",AG83*AJ83)</f>
        <v/>
      </c>
      <c r="AL83" s="34">
        <f>IF(OR(AG83="",R83=0),"",MIN(IF(AT83="",9.9E+99,AT83),FLOOR(AK83/R83,1)))</f>
        <v/>
      </c>
      <c r="AM83" s="38">
        <f>IF(AL83="","",AL83*T83)</f>
        <v/>
      </c>
      <c r="AN83" s="36">
        <f>IF(OR(AG83="",R83=0),"",MIN(IF(AT83="",9.9E+99,AT83),AK83/R83))</f>
        <v/>
      </c>
      <c r="AO83" s="38">
        <f>IF(AN83="","",AN83*T83)</f>
        <v/>
      </c>
      <c r="AP83" s="40" t="n"/>
      <c r="AQ83" s="32" t="inlineStr">
        <is>
          <t>Grounded</t>
        </is>
      </c>
      <c r="AR83" s="41" t="n"/>
      <c r="AS83" s="41" t="n"/>
      <c r="AT83" s="42" t="n"/>
      <c r="AU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V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W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X83" s="44" t="inlineStr">
        <is>
          <t>handoff/INDIA-ECONOMICS-SIDECAR-V0-2026-06-20.json (andaman)</t>
        </is>
      </c>
      <c r="AY83" s="44" t="inlineStr">
        <is>
          <t>handoff/INDIA-ECONOMICS-SIDECAR-V0-2026-06-20.json (andaman)</t>
        </is>
      </c>
    </row>
    <row r="84">
      <c r="A84" s="29" t="inlineStr">
        <is>
          <t>India Mumbai Rapido</t>
        </is>
      </c>
      <c r="B84" s="29" t="inlineStr">
        <is>
          <t>India</t>
        </is>
      </c>
      <c r="C84" s="30" t="inlineStr">
        <is>
          <t>Cordelia Cruises → OLD HARBOR TEA &amp; COFFEE</t>
        </is>
      </c>
      <c r="D84" s="31" t="n">
        <v>8.5</v>
      </c>
      <c r="E84" s="26" t="n">
        <v>18</v>
      </c>
      <c r="F84" s="32" t="inlineStr">
        <is>
          <t>T3</t>
        </is>
      </c>
      <c r="G84" s="32" t="inlineStr">
        <is>
          <t>med-low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>
        <v>5000</v>
      </c>
      <c r="AH84" s="32" t="inlineStr">
        <is>
          <t>T3</t>
        </is>
      </c>
      <c r="AI84" s="32" t="inlineStr">
        <is>
          <t>med-low</t>
        </is>
      </c>
      <c r="AJ84" s="39" t="n">
        <v>0.1</v>
      </c>
      <c r="AK84" s="34">
        <f>IF(AG84="","",AG84*AJ84)</f>
        <v/>
      </c>
      <c r="AL84" s="34">
        <f>IF(OR(AG84="",R84=0),"",MIN(IF(AT84="",9.9E+99,AT84),FLOOR(AK84/R84,1)))</f>
        <v/>
      </c>
      <c r="AM84" s="38">
        <f>IF(AL84="","",AL84*T84)</f>
        <v/>
      </c>
      <c r="AN84" s="36">
        <f>IF(OR(AG84="",R84=0),"",MIN(IF(AT84="",9.9E+99,AT84),AK84/R84))</f>
        <v/>
      </c>
      <c r="AO84" s="38">
        <f>IF(AN84="","",AN84*T84)</f>
        <v/>
      </c>
      <c r="AP84" s="40" t="n"/>
      <c r="AQ84" s="32" t="inlineStr">
        <is>
          <t>Grounded</t>
        </is>
      </c>
      <c r="AR84" s="41" t="n"/>
      <c r="AS84" s="41" t="n"/>
      <c r="AT84" s="42" t="n"/>
      <c r="AU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V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W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X84" s="44" t="inlineStr">
        <is>
          <t>[LB-255 PREMIUM RE-FARE: subsidized comparable $5.5 lifted to premium on-demand floor $18.0] handoff/INDIA-ECONOMICS-SIDECAR-V0-2026-06-20.json (mumbai)</t>
        </is>
      </c>
      <c r="AY84" s="44" t="inlineStr">
        <is>
          <t>handoff/INDIA-ECONOMICS-SIDECAR-V0-2026-06-20.json (mumbai)</t>
        </is>
      </c>
    </row>
    <row r="85">
      <c r="A85" s="29" t="inlineStr">
        <is>
          <t>Rapido Mumbai</t>
        </is>
      </c>
      <c r="B85" s="29" t="inlineStr">
        <is>
          <t>India</t>
        </is>
      </c>
      <c r="C85" s="30" t="inlineStr">
        <is>
          <t>Versova Ferry Wharf → Gateway of India</t>
        </is>
      </c>
      <c r="D85" s="31" t="n">
        <v>12.43</v>
      </c>
      <c r="E85" s="26" t="n"/>
      <c r="F85" s="32" t="inlineStr">
        <is>
          <t>T3</t>
        </is>
      </c>
      <c r="G85" s="32" t="inlineStr">
        <is>
          <t>med-low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MIN(15,FLOOR(60*service_hr/J85,1))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>
        <v>9230</v>
      </c>
      <c r="AH85" s="32" t="inlineStr">
        <is>
          <t>T3</t>
        </is>
      </c>
      <c r="AI85" s="32" t="inlineStr">
        <is>
          <t>med-low</t>
        </is>
      </c>
      <c r="AJ85" s="39" t="n">
        <v>0.1</v>
      </c>
      <c r="AK85" s="34">
        <f>IF(AG85="","",AG85*AJ85)</f>
        <v/>
      </c>
      <c r="AL85" s="34">
        <f>IF(OR(AG85="",R85=0),"",MIN(IF(AT85="",9.9E+99,AT85),FLOOR(AK85/R85,1)))</f>
        <v/>
      </c>
      <c r="AM85" s="38">
        <f>IF(AL85="","",AL85*T85)</f>
        <v/>
      </c>
      <c r="AN85" s="36">
        <f>IF(OR(AG85="",R85=0),"",MIN(IF(AT85="",9.9E+99,AT85),AK85/R85))</f>
        <v/>
      </c>
      <c r="AO85" s="38">
        <f>IF(AN85="","",AN85*T85)</f>
        <v/>
      </c>
      <c r="AP85" s="40" t="n"/>
      <c r="AQ85" s="32" t="inlineStr">
        <is>
          <t>Upside tier</t>
        </is>
      </c>
      <c r="AR85" s="41" t="n"/>
      <c r="AS85" s="41" t="inlineStr">
        <is>
          <t>experience_upside</t>
        </is>
      </c>
      <c r="AT85" s="42" t="n"/>
      <c r="AU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V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W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X85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Y85" s="44" t="inlineStr">
        <is>
          <t>PR #58 Mumbai spine route-count split (13 sealed rows × anchor 120,000 pax/yr)</t>
        </is>
      </c>
    </row>
    <row r="86">
      <c r="A86" s="29" t="inlineStr">
        <is>
          <t>India Mumbai Rapido</t>
        </is>
      </c>
      <c r="B86" s="29" t="inlineStr">
        <is>
          <t>India</t>
        </is>
      </c>
      <c r="C86" s="30" t="inlineStr">
        <is>
          <t>Gorai / Marve Jetty → Nariman Point Water-Taxi Jetty</t>
        </is>
      </c>
      <c r="D86" s="31" t="n">
        <v>13.45</v>
      </c>
      <c r="E86" s="26" t="n">
        <v>18</v>
      </c>
      <c r="F86" s="32" t="inlineStr">
        <is>
          <t>T3</t>
        </is>
      </c>
      <c r="G86" s="32" t="inlineStr">
        <is>
          <t>med-low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5000</v>
      </c>
      <c r="AH86" s="32" t="inlineStr">
        <is>
          <t>T3</t>
        </is>
      </c>
      <c r="AI86" s="32" t="inlineStr">
        <is>
          <t>med-low</t>
        </is>
      </c>
      <c r="AJ86" s="39" t="n">
        <v>0.1</v>
      </c>
      <c r="AK86" s="34">
        <f>IF(AG86="","",AG86*AJ86)</f>
        <v/>
      </c>
      <c r="AL86" s="34">
        <f>IF(OR(AG86="",R86=0),"",MIN(IF(AT86="",9.9E+99,AT86),FLOOR(AK86/R86,1)))</f>
        <v/>
      </c>
      <c r="AM86" s="38">
        <f>IF(AL86="","",AL86*T86)</f>
        <v/>
      </c>
      <c r="AN86" s="36">
        <f>IF(OR(AG86="",R86=0),"",MIN(IF(AT86="",9.9E+99,AT86),AK86/R86))</f>
        <v/>
      </c>
      <c r="AO86" s="38">
        <f>IF(AN86="","",AN86*T86)</f>
        <v/>
      </c>
      <c r="AP86" s="40" t="n"/>
      <c r="AQ86" s="32" t="inlineStr">
        <is>
          <t>Grounded</t>
        </is>
      </c>
      <c r="AR86" s="41" t="n"/>
      <c r="AS86" s="41" t="n"/>
      <c r="AT86" s="42" t="n"/>
      <c r="AU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V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W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X86" s="44" t="inlineStr">
        <is>
          <t>[LB-255 PREMIUM RE-FARE: subsidized comparable $5.5 lifted to premium on-demand floor $18.0] handoff/INDIA-ECONOMICS-SIDECAR-V0-2026-06-20.json (mumbai)</t>
        </is>
      </c>
      <c r="AY86" s="44" t="inlineStr">
        <is>
          <t>handoff/INDIA-ECONOMICS-SIDECAR-V0-2026-06-20.json (mumbai)</t>
        </is>
      </c>
    </row>
    <row r="87">
      <c r="A87" s="29" t="inlineStr">
        <is>
          <t>India Andaman Rapido</t>
        </is>
      </c>
      <c r="B87" s="29" t="inlineStr">
        <is>
          <t>India</t>
        </is>
      </c>
      <c r="C87" s="30" t="inlineStr">
        <is>
          <t>APARUPA SANDS MARINA → Shaheed Dweep Jetty</t>
        </is>
      </c>
      <c r="D87" s="31" t="n">
        <v>13.9</v>
      </c>
      <c r="E87" s="26" t="n">
        <v>22</v>
      </c>
      <c r="F87" s="32" t="inlineStr">
        <is>
          <t>T3</t>
        </is>
      </c>
      <c r="G87" s="32" t="inlineStr">
        <is>
          <t>med-low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5000</v>
      </c>
      <c r="AH87" s="32" t="inlineStr">
        <is>
          <t>T3</t>
        </is>
      </c>
      <c r="AI87" s="32" t="inlineStr">
        <is>
          <t>med-low</t>
        </is>
      </c>
      <c r="AJ87" s="39" t="n">
        <v>0.1</v>
      </c>
      <c r="AK87" s="34">
        <f>IF(AG87="","",AG87*AJ87)</f>
        <v/>
      </c>
      <c r="AL87" s="34">
        <f>IF(OR(AG87="",R87=0),"",MIN(IF(AT87="",9.9E+99,AT87),FLOOR(AK87/R87,1)))</f>
        <v/>
      </c>
      <c r="AM87" s="38">
        <f>IF(AL87="","",AL87*T87)</f>
        <v/>
      </c>
      <c r="AN87" s="36">
        <f>IF(OR(AG87="",R87=0),"",MIN(IF(AT87="",9.9E+99,AT87),AK87/R87))</f>
        <v/>
      </c>
      <c r="AO87" s="38">
        <f>IF(AN87="","",AN87*T87)</f>
        <v/>
      </c>
      <c r="AP87" s="40" t="n"/>
      <c r="AQ87" s="32" t="inlineStr">
        <is>
          <t>Grounded</t>
        </is>
      </c>
      <c r="AR87" s="41" t="n"/>
      <c r="AS87" s="41" t="n"/>
      <c r="AT87" s="42" t="n"/>
      <c r="AU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V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W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X87" s="44" t="inlineStr">
        <is>
          <t>handoff/INDIA-ECONOMICS-SIDECAR-V0-2026-06-20.json (andaman)</t>
        </is>
      </c>
      <c r="AY87" s="44" t="inlineStr">
        <is>
          <t>handoff/INDIA-ECONOMICS-SIDECAR-V0-2026-06-20.json (andaman)</t>
        </is>
      </c>
    </row>
    <row r="88">
      <c r="A88" s="29" t="inlineStr">
        <is>
          <t>India Andaman Rapido</t>
        </is>
      </c>
      <c r="B88" s="29" t="inlineStr">
        <is>
          <t>India</t>
        </is>
      </c>
      <c r="C88" s="30" t="inlineStr">
        <is>
          <t>Office Of Assistant Engineer Civil, Andaman Lakshdweep Harbour Work Havelock → Shaheed Dweep Jetty</t>
        </is>
      </c>
      <c r="D88" s="31" t="n">
        <v>15.2</v>
      </c>
      <c r="E88" s="26" t="n">
        <v>22</v>
      </c>
      <c r="F88" s="32" t="inlineStr">
        <is>
          <t>T3</t>
        </is>
      </c>
      <c r="G88" s="32" t="inlineStr">
        <is>
          <t>med-low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MIN(15,FLOOR(60*service_hr/J88,1))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>
        <v>5000</v>
      </c>
      <c r="AH88" s="32" t="inlineStr">
        <is>
          <t>T3</t>
        </is>
      </c>
      <c r="AI88" s="32" t="inlineStr">
        <is>
          <t>med-low</t>
        </is>
      </c>
      <c r="AJ88" s="39" t="n">
        <v>0.1</v>
      </c>
      <c r="AK88" s="34">
        <f>IF(AG88="","",AG88*AJ88)</f>
        <v/>
      </c>
      <c r="AL88" s="34">
        <f>IF(OR(AG88="",R88=0),"",MIN(IF(AT88="",9.9E+99,AT88),FLOOR(AK88/R88,1)))</f>
        <v/>
      </c>
      <c r="AM88" s="38">
        <f>IF(AL88="","",AL88*T88)</f>
        <v/>
      </c>
      <c r="AN88" s="36">
        <f>IF(OR(AG88="",R88=0),"",MIN(IF(AT88="",9.9E+99,AT88),AK88/R88))</f>
        <v/>
      </c>
      <c r="AO88" s="38">
        <f>IF(AN88="","",AN88*T88)</f>
        <v/>
      </c>
      <c r="AP88" s="40" t="n"/>
      <c r="AQ88" s="32" t="inlineStr">
        <is>
          <t>Grounded</t>
        </is>
      </c>
      <c r="AR88" s="41" t="n"/>
      <c r="AS88" s="41" t="n"/>
      <c r="AT88" s="42" t="n"/>
      <c r="AU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V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W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X88" s="44" t="inlineStr">
        <is>
          <t>handoff/INDIA-ECONOMICS-SIDECAR-V0-2026-06-20.json (andaman)</t>
        </is>
      </c>
      <c r="AY88" s="44" t="inlineStr">
        <is>
          <t>handoff/INDIA-ECONOMICS-SIDECAR-V0-2026-06-20.json (andaman)</t>
        </is>
      </c>
    </row>
    <row r="89">
      <c r="A89" s="29" t="inlineStr">
        <is>
          <t>India Kolkata Rapido</t>
        </is>
      </c>
      <c r="B89" s="29" t="inlineStr">
        <is>
          <t>India</t>
        </is>
      </c>
      <c r="C89" s="30" t="inlineStr">
        <is>
          <t>Millennium Park Jetty → Chandannagar Riverfront</t>
        </is>
      </c>
      <c r="D89" s="31" t="n">
        <v>17.9</v>
      </c>
      <c r="E89" s="26" t="n">
        <v>18</v>
      </c>
      <c r="F89" s="32" t="n"/>
      <c r="G89" s="32" t="n"/>
      <c r="H89" s="19" t="n">
        <v>1</v>
      </c>
      <c r="I89" s="33">
        <f>60*D89/cruise_kt</f>
        <v/>
      </c>
      <c r="J89" s="33">
        <f>I89+turn_min+dwell_min</f>
        <v/>
      </c>
      <c r="K89" s="34">
        <f>MIN(15,FLOOR(60*service_hr/J89,1))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1600000</v>
      </c>
      <c r="AH89" s="32" t="n"/>
      <c r="AI89" s="32" t="n"/>
      <c r="AJ89" s="39" t="n">
        <v>0.1</v>
      </c>
      <c r="AK89" s="34">
        <f>IF(AG89="","",AG89*AJ89)</f>
        <v/>
      </c>
      <c r="AL89" s="34">
        <f>IF(OR(AG89="",R89=0),"",MIN(IF(AT89="",9.9E+99,AT89),FLOOR(AK89/R89,1)))</f>
        <v/>
      </c>
      <c r="AM89" s="38">
        <f>IF(AL89="","",AL89*T89)</f>
        <v/>
      </c>
      <c r="AN89" s="36">
        <f>IF(OR(AG89="",R89=0),"",MIN(IF(AT89="",9.9E+99,AT89),AK89/R89))</f>
        <v/>
      </c>
      <c r="AO89" s="38">
        <f>IF(AN89="","",AN89*T89)</f>
        <v/>
      </c>
      <c r="AP89" s="40" t="n"/>
      <c r="AQ89" s="32" t="inlineStr">
        <is>
          <t>Grounded</t>
        </is>
      </c>
      <c r="AR89" s="41" t="n"/>
      <c r="AS89" s="41" t="n"/>
      <c r="AT89" s="42" t="n"/>
      <c r="AU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V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W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X89" s="44" t="inlineStr">
        <is>
          <t xml:space="preserve">[LB-255 PREMIUM RE-FARE: subsidized comparable $2.5 lifted to premium on-demand floor $18.0] </t>
        </is>
      </c>
      <c r="AY89" s="44" t="n"/>
    </row>
    <row r="90">
      <c r="A90" s="29" t="inlineStr">
        <is>
          <t>India Andaman Rapido</t>
        </is>
      </c>
      <c r="B90" s="29" t="inlineStr">
        <is>
          <t>India</t>
        </is>
      </c>
      <c r="C90" s="30" t="inlineStr">
        <is>
          <t>Bambooflat Jetty → Shaheed Dweep Jetty</t>
        </is>
      </c>
      <c r="D90" s="31" t="n">
        <v>21.1</v>
      </c>
      <c r="E90" s="26" t="n">
        <v>22</v>
      </c>
      <c r="F90" s="32" t="inlineStr">
        <is>
          <t>T3</t>
        </is>
      </c>
      <c r="G90" s="32" t="inlineStr">
        <is>
          <t>med-low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MIN(15,FLOOR(60*service_hr/J90,1))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5000</v>
      </c>
      <c r="AH90" s="32" t="inlineStr">
        <is>
          <t>T3</t>
        </is>
      </c>
      <c r="AI90" s="32" t="inlineStr">
        <is>
          <t>med-low</t>
        </is>
      </c>
      <c r="AJ90" s="39" t="n">
        <v>0.1</v>
      </c>
      <c r="AK90" s="34">
        <f>IF(AG90="","",AG90*AJ90)</f>
        <v/>
      </c>
      <c r="AL90" s="34">
        <f>IF(OR(AG90="",R90=0),"",MIN(IF(AT90="",9.9E+99,AT90),FLOOR(AK90/R90,1)))</f>
        <v/>
      </c>
      <c r="AM90" s="38">
        <f>IF(AL90="","",AL90*T90)</f>
        <v/>
      </c>
      <c r="AN90" s="36">
        <f>IF(OR(AG90="",R90=0),"",MIN(IF(AT90="",9.9E+99,AT90),AK90/R90))</f>
        <v/>
      </c>
      <c r="AO90" s="38">
        <f>IF(AN90="","",AN90*T90)</f>
        <v/>
      </c>
      <c r="AP90" s="40" t="n"/>
      <c r="AQ90" s="32" t="inlineStr">
        <is>
          <t>Grounded</t>
        </is>
      </c>
      <c r="AR90" s="41" t="n"/>
      <c r="AS90" s="41" t="n"/>
      <c r="AT90" s="42" t="n"/>
      <c r="AU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V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W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X90" s="44" t="inlineStr">
        <is>
          <t>handoff/INDIA-ECONOMICS-SIDECAR-V0-2026-06-20.json (andaman)</t>
        </is>
      </c>
      <c r="AY90" s="44" t="inlineStr">
        <is>
          <t>handoff/INDIA-ECONOMICS-SIDECAR-V0-2026-06-20.json (andaman)</t>
        </is>
      </c>
    </row>
    <row r="91">
      <c r="A91" s="29" t="inlineStr">
        <is>
          <t>India Andaman Rapido</t>
        </is>
      </c>
      <c r="B91" s="29" t="inlineStr">
        <is>
          <t>India</t>
        </is>
      </c>
      <c r="C91" s="30" t="inlineStr">
        <is>
          <t>Andaman → Office Of Assistant Engineer Civil, Andaman Lakshdweep Harbour Work Havelock</t>
        </is>
      </c>
      <c r="D91" s="31" t="n">
        <v>28.2</v>
      </c>
      <c r="E91" s="26" t="n">
        <v>22</v>
      </c>
      <c r="F91" s="32" t="inlineStr">
        <is>
          <t>T3</t>
        </is>
      </c>
      <c r="G91" s="32" t="inlineStr">
        <is>
          <t>med-low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MIN(15,FLOOR(60*service_hr/J91,1))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5000</v>
      </c>
      <c r="AH91" s="32" t="inlineStr">
        <is>
          <t>T3</t>
        </is>
      </c>
      <c r="AI91" s="32" t="inlineStr">
        <is>
          <t>med-low</t>
        </is>
      </c>
      <c r="AJ91" s="39" t="n">
        <v>0.1</v>
      </c>
      <c r="AK91" s="34">
        <f>IF(AG91="","",AG91*AJ91)</f>
        <v/>
      </c>
      <c r="AL91" s="34">
        <f>IF(OR(AG91="",R91=0),"",MIN(IF(AT91="",9.9E+99,AT91),FLOOR(AK91/R91,1)))</f>
        <v/>
      </c>
      <c r="AM91" s="38">
        <f>IF(AL91="","",AL91*T91)</f>
        <v/>
      </c>
      <c r="AN91" s="36">
        <f>IF(OR(AG91="",R91=0),"",MIN(IF(AT91="",9.9E+99,AT91),AK91/R91))</f>
        <v/>
      </c>
      <c r="AO91" s="38">
        <f>IF(AN91="","",AN91*T91)</f>
        <v/>
      </c>
      <c r="AP91" s="40" t="n"/>
      <c r="AQ91" s="32" t="inlineStr">
        <is>
          <t>Grounded</t>
        </is>
      </c>
      <c r="AR91" s="41" t="n"/>
      <c r="AS91" s="41" t="n"/>
      <c r="AT91" s="42" t="n"/>
      <c r="AU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V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W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X91" s="44" t="inlineStr">
        <is>
          <t>handoff/INDIA-ECONOMICS-SIDECAR-V0-2026-06-20.json (andaman)</t>
        </is>
      </c>
      <c r="AY91" s="44" t="inlineStr">
        <is>
          <t>handoff/INDIA-ECONOMICS-SIDECAR-V0-2026-06-20.json (andaman)</t>
        </is>
      </c>
    </row>
    <row r="92">
      <c r="A92" s="29" t="inlineStr">
        <is>
          <t>India Andaman Rapido</t>
        </is>
      </c>
      <c r="B92" s="29" t="inlineStr">
        <is>
          <t>India</t>
        </is>
      </c>
      <c r="C92" s="30" t="inlineStr">
        <is>
          <t>Andaman → APARUPA SANDS MARINA</t>
        </is>
      </c>
      <c r="D92" s="31" t="n">
        <v>29.4</v>
      </c>
      <c r="E92" s="26" t="n">
        <v>22</v>
      </c>
      <c r="F92" s="32" t="inlineStr">
        <is>
          <t>T3</t>
        </is>
      </c>
      <c r="G92" s="32" t="inlineStr">
        <is>
          <t>med-low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MIN(15,FLOOR(60*service_hr/J92,1))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5000</v>
      </c>
      <c r="AH92" s="32" t="inlineStr">
        <is>
          <t>T3</t>
        </is>
      </c>
      <c r="AI92" s="32" t="inlineStr">
        <is>
          <t>med-low</t>
        </is>
      </c>
      <c r="AJ92" s="39" t="n">
        <v>0.1</v>
      </c>
      <c r="AK92" s="34">
        <f>IF(AG92="","",AG92*AJ92)</f>
        <v/>
      </c>
      <c r="AL92" s="34">
        <f>IF(OR(AG92="",R92=0),"",MIN(IF(AT92="",9.9E+99,AT92),FLOOR(AK92/R92,1)))</f>
        <v/>
      </c>
      <c r="AM92" s="38">
        <f>IF(AL92="","",AL92*T92)</f>
        <v/>
      </c>
      <c r="AN92" s="36">
        <f>IF(OR(AG92="",R92=0),"",MIN(IF(AT92="",9.9E+99,AT92),AK92/R92))</f>
        <v/>
      </c>
      <c r="AO92" s="38">
        <f>IF(AN92="","",AN92*T92)</f>
        <v/>
      </c>
      <c r="AP92" s="40" t="n"/>
      <c r="AQ92" s="32" t="inlineStr">
        <is>
          <t>Grounded</t>
        </is>
      </c>
      <c r="AR92" s="41" t="n"/>
      <c r="AS92" s="41" t="n"/>
      <c r="AT92" s="42" t="n"/>
      <c r="AU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V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W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X92" s="44" t="inlineStr">
        <is>
          <t>handoff/INDIA-ECONOMICS-SIDECAR-V0-2026-06-20.json (andaman)</t>
        </is>
      </c>
      <c r="AY92" s="44" t="inlineStr">
        <is>
          <t>handoff/INDIA-ECONOMICS-SIDECAR-V0-2026-06-20.json (andaman)</t>
        </is>
      </c>
    </row>
    <row r="93">
      <c r="A93" s="45" t="inlineStr">
        <is>
          <t>TOTAL / median</t>
        </is>
      </c>
      <c r="T93" s="46">
        <f>SUM(T4:T92)</f>
        <v/>
      </c>
      <c r="AC93" s="46">
        <f>SUM(AC4:AC92)</f>
        <v/>
      </c>
      <c r="AD93" s="47">
        <f>IF(T93=0,"",AC93/T93)</f>
        <v/>
      </c>
      <c r="AL93" s="48">
        <f>SUM(AL4:AL92)</f>
        <v/>
      </c>
      <c r="AM93" s="46">
        <f>SUM(AM4:AM92)</f>
        <v/>
      </c>
    </row>
    <row r="95">
      <c r="A9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96">
      <c r="A96" s="24" t="inlineStr">
        <is>
          <t>Market</t>
        </is>
      </c>
      <c r="B96" s="24" t="inlineStr">
        <is>
          <t>Fleet basis</t>
        </is>
      </c>
      <c r="C96" s="24" t="inlineStr">
        <is>
          <t>Raw vessels (sum)</t>
        </is>
      </c>
      <c r="D96" s="24" t="inlineStr">
        <is>
          <t>Fleet (rounded once)</t>
        </is>
      </c>
      <c r="E96" s="24" t="inlineStr">
        <is>
          <t>Market rev/yr (raw sum)</t>
        </is>
      </c>
    </row>
    <row r="97">
      <c r="A97" s="25" t="inlineStr">
        <is>
          <t>India Andaman Rapido</t>
        </is>
      </c>
      <c r="B97" s="13" t="inlineStr">
        <is>
          <t>network_sum / ceil</t>
        </is>
      </c>
      <c r="C97" s="23">
        <f>SUMIFS(AN4:AN92,A4:A92,"India Andaman Rapido",AP4:AP92,"=",AQ4:AQ92,"Grounded")</f>
        <v/>
      </c>
      <c r="D97" s="49">
        <f>IF(C97=0,0,CEILING(C97,1))</f>
        <v/>
      </c>
      <c r="E97" s="50">
        <f>SUMIFS(AO4:AO92,A4:A92,"India Andaman Rapido",AP4:AP92,"=",AQ4:AQ92,"Grounded")</f>
        <v/>
      </c>
    </row>
    <row r="98">
      <c r="A98" s="25" t="inlineStr">
        <is>
          <t>India Kolkata Rapido</t>
        </is>
      </c>
      <c r="B98" s="13" t="inlineStr">
        <is>
          <t>network_sum</t>
        </is>
      </c>
      <c r="C98" s="23">
        <f>SUMIFS(AN4:AN92,A4:A92,"India Kolkata Rapido",AP4:AP92,"=",AQ4:AQ92,"Grounded")</f>
        <v/>
      </c>
      <c r="D98" s="49">
        <f>ROUND(C98,0)</f>
        <v/>
      </c>
      <c r="E98" s="50">
        <f>SUMIFS(AO4:AO92,A4:A92,"India Kolkata Rapido",AP4:AP92,"=",AQ4:AQ92,"Grounded")</f>
        <v/>
      </c>
    </row>
    <row r="99">
      <c r="A99" s="25" t="inlineStr">
        <is>
          <t>India Goa Rapido</t>
        </is>
      </c>
      <c r="B99" s="13" t="inlineStr">
        <is>
          <t>network_sum / ceil</t>
        </is>
      </c>
      <c r="C99" s="23">
        <f>SUMIFS(AN4:AN92,A4:A92,"India Goa Rapido",AP4:AP92,"=",AQ4:AQ92,"Grounded")</f>
        <v/>
      </c>
      <c r="D99" s="49">
        <f>IF(C99=0,0,CEILING(C99,1))</f>
        <v/>
      </c>
      <c r="E99" s="50">
        <f>SUMIFS(AO4:AO92,A4:A92,"India Goa Rapido",AP4:AP92,"=",AQ4:AQ92,"Grounded")</f>
        <v/>
      </c>
    </row>
    <row r="100">
      <c r="A100" s="25" t="inlineStr">
        <is>
          <t>India Kerala Rapido</t>
        </is>
      </c>
      <c r="B100" s="13" t="inlineStr">
        <is>
          <t>network_sum / ceil</t>
        </is>
      </c>
      <c r="C100" s="23">
        <f>SUMIFS(AN4:AN92,A4:A92,"India Kerala Rapido",AP4:AP92,"=",AQ4:AQ92,"Grounded")</f>
        <v/>
      </c>
      <c r="D100" s="49">
        <f>IF(C100=0,0,CEILING(C100,1))</f>
        <v/>
      </c>
      <c r="E100" s="50">
        <f>SUMIFS(AO4:AO92,A4:A92,"India Kerala Rapido",AP4:AP92,"=",AQ4:AQ92,"Grounded")</f>
        <v/>
      </c>
    </row>
    <row r="101">
      <c r="A101" s="25" t="inlineStr">
        <is>
          <t>India Mumbai Rapido</t>
        </is>
      </c>
      <c r="B101" s="13" t="inlineStr">
        <is>
          <t>network_sum / ceil</t>
        </is>
      </c>
      <c r="C101" s="23">
        <f>SUMIFS(AN4:AN92,A4:A92,"India Mumbai Rapido",AP4:AP92,"=",AQ4:AQ92,"Grounded")</f>
        <v/>
      </c>
      <c r="D101" s="49">
        <f>IF(C101=0,0,CEILING(C101,1))</f>
        <v/>
      </c>
      <c r="E101" s="50">
        <f>SUMIFS(AO4:AO92,A4:A92,"India Mumbai Rapido",AP4:AP92,"=",AQ4:AQ92,"Grounded")</f>
        <v/>
      </c>
    </row>
    <row r="102">
      <c r="A102" s="25" t="inlineStr">
        <is>
          <t>Rapido Mumbai</t>
        </is>
      </c>
      <c r="B102" s="13" t="inlineStr">
        <is>
          <t>per_corridor_floor</t>
        </is>
      </c>
      <c r="C102" s="13" t="inlineStr">
        <is>
          <t>—</t>
        </is>
      </c>
      <c r="D102" s="49">
        <f>SUMIFS(AL4:AL92,A4:A92,"Rapido Mumbai",AP4:AP92,"=",AQ4:AQ92,"Grounded")</f>
        <v/>
      </c>
      <c r="E102" s="50">
        <f>SUMIFS(AM4:AM92,A4:A92,"Rapido Mumbai",AP4:AP92,"=",AQ4:AQ92,"Grounded")</f>
        <v/>
      </c>
    </row>
    <row r="103">
      <c r="A103" s="25" t="inlineStr">
        <is>
          <t>India Chennai Rapido</t>
        </is>
      </c>
      <c r="B103" s="13" t="inlineStr">
        <is>
          <t>network_sum</t>
        </is>
      </c>
      <c r="C103" s="23">
        <f>SUMIFS(AN4:AN92,A4:A92,"India Chennai Rapido",AP4:AP92,"=",AQ4:AQ92,"Grounded")</f>
        <v/>
      </c>
      <c r="D103" s="49">
        <f>ROUND(C103,0)</f>
        <v/>
      </c>
      <c r="E103" s="50">
        <f>SUMIFS(AO4:AO92,A4:A92,"India Chennai Rapido",AP4:AP92,"=",AQ4:AQ92,"Grounded")</f>
        <v/>
      </c>
    </row>
    <row r="104">
      <c r="A104" s="45" t="inlineStr">
        <is>
          <t>GROUNDED FLOOR (PUBLISHED)</t>
        </is>
      </c>
      <c r="D104" s="48">
        <f>SUM(D97:D103)</f>
        <v/>
      </c>
      <c r="E104" s="46">
        <f>SUM(E97:E103)</f>
        <v/>
      </c>
    </row>
    <row r="105">
      <c r="A105" s="20" t="inlineStr">
        <is>
          <t>ESTIMATED UPSIDE (LB-99 modal-shift / experience-upside tiers; held OUT of grounded floor)</t>
        </is>
      </c>
      <c r="D105" s="51">
        <f>SUMIF(AQ4:AQ92,"Upside tier",AL4:AL92)</f>
        <v/>
      </c>
      <c r="E105" s="52">
        <f>SUMIF(AQ4:AQ92,"Upside tier",AM4:AM92)</f>
        <v/>
      </c>
    </row>
    <row r="107">
      <c r="A107" s="53" t="inlineStr">
        <is>
          <t>Held for Quanta-LR (&gt;70nm, roadmap H2 2026+):</t>
        </is>
      </c>
      <c r="C107" s="54" t="inlineStr">
        <is>
          <t>Goa → Mumbai (213.3nm)</t>
        </is>
      </c>
    </row>
    <row r="108">
      <c r="C108" s="54" t="inlineStr">
        <is>
          <t>Chennai Port WQIV Cruise Terminal → Cuddalore Port (90.0nm)</t>
        </is>
      </c>
    </row>
    <row r="109">
      <c r="C109" s="54" t="inlineStr">
        <is>
          <t>Chennai Port WQIV Cruise Terminal → Puducherry Port (76.6nm)</t>
        </is>
      </c>
    </row>
  </sheetData>
  <mergeCells count="2">
    <mergeCell ref="A95:L95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2026-07-06T02:58:45Z</dcterms:created>
  <dcterms:modified xsi:type="dcterms:W3CDTF">2026-07-06T02:58:45Z</dcterms:modified>
</cp:coreProperties>
</file>