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Rapido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Rapido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Rapido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Rapido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Rapido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Rapido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Rapido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Rapido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Rapido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Rapido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9230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(13 sealed rows × anchor 120,000 pax/yr)</t>
        </is>
      </c>
    </row>
    <row r="19">
      <c r="A19" s="29" t="inlineStr">
        <is>
          <t>India Goa Rapido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Rapido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Rapido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Rapido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Rapido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Rapido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Rapido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Rapido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Rapido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Rapido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Rapido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Rapido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Rapido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Rapido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Rapido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Rapido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Rapido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Rapido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Rapido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Rapido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Rapido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Rapido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Rapido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Rapido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Rapido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Rapido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Rapido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Rapido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Rapido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Rapido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Rapido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Rapido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Rapido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Rapido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Rapido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Rapido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Rapido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Rapido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Rapido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Rapido Mumbai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/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9230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inlineStr">
        <is>
          <t>experience_upside</t>
        </is>
      </c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0" s="44" t="inlineStr">
        <is>
          <t>PR #58 Mumbai spine route-count split (13 sealed rows × anchor 120,000 pax/yr)</t>
        </is>
      </c>
    </row>
    <row r="61">
      <c r="A61" s="29" t="inlineStr">
        <is>
          <t>India Goa Rapido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Rapido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Rapido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Rapido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Rapido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Rapido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Rapido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9230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(13 sealed rows × anchor 120,000 pax/yr)</t>
        </is>
      </c>
    </row>
    <row r="69">
      <c r="A69" s="29" t="inlineStr">
        <is>
          <t>India Mumbai Rapido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Rapido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9230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(13 sealed rows × anchor 120,000 pax/yr)</t>
        </is>
      </c>
    </row>
    <row r="71">
      <c r="A71" s="29" t="inlineStr">
        <is>
          <t>India Andaman Rapido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Rapido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Rapido Mumbai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/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9230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inlineStr">
        <is>
          <t>experience_upside</t>
        </is>
      </c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3" s="44" t="inlineStr">
        <is>
          <t>PR #58 Mumbai spine route-count split (13 sealed rows × anchor 120,000 pax/yr)</t>
        </is>
      </c>
    </row>
    <row r="74">
      <c r="A74" s="29" t="inlineStr">
        <is>
          <t>India Andaman Rapido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Rapido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Rapido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9230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(13 sealed rows × anchor 120,000 pax/yr)</t>
        </is>
      </c>
    </row>
    <row r="77">
      <c r="A77" s="29" t="inlineStr">
        <is>
          <t>Rapido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9230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(13 sealed rows × anchor 120,000 pax/yr)</t>
        </is>
      </c>
    </row>
    <row r="78">
      <c r="A78" s="29" t="inlineStr">
        <is>
          <t>India Goa Rapido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Rapido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Rapido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9230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(13 sealed rows × anchor 120,000 pax/yr)</t>
        </is>
      </c>
    </row>
    <row r="81">
      <c r="A81" s="29" t="inlineStr">
        <is>
          <t>India Goa Rapido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Rapido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Rapido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9230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(13 sealed rows × anchor 120,000 pax/yr)</t>
        </is>
      </c>
    </row>
    <row r="84">
      <c r="A84" s="29" t="inlineStr">
        <is>
          <t>India Goa Rapido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Rapido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9230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(13 sealed rows × anchor 120,000 pax/yr)</t>
        </is>
      </c>
    </row>
    <row r="86">
      <c r="A86" s="29" t="inlineStr">
        <is>
          <t>India Mumbai Rapido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Rapido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Rapido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Rapido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Rapido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9230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(13 sealed rows × anchor 120,000 pax/yr)</t>
        </is>
      </c>
    </row>
    <row r="91">
      <c r="A91" s="29" t="inlineStr">
        <is>
          <t>Rapido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9230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(13 sealed rows × anchor 120,000 pax/yr)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Rapido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Rapido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9230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(13 sealed rows × anchor 120,000 pax/yr)</t>
        </is>
      </c>
    </row>
    <row r="95">
      <c r="A95" s="29" t="inlineStr">
        <is>
          <t>India Mumbai Rapido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Rapido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Rapido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Rapido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Rapido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Rapido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Rapido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Rapido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Rapido</t>
        </is>
      </c>
      <c r="B107" s="13" t="inlineStr">
        <is>
          <t>network_sum / ceil</t>
        </is>
      </c>
      <c r="C107" s="23">
        <f>SUMIFS(AN4:AN102,A4:A102,"India Andaman Rapido",AP4:AP102,"=",AQ4:AQ102,"=",AR4:AR102,"=")</f>
        <v/>
      </c>
      <c r="D107" s="49">
        <f>IF(C107=0,0,CEILING(C107,1))</f>
        <v/>
      </c>
      <c r="E107" s="50">
        <f>SUMIFS(AO4:AO102,A4:A102,"India Andaman Rapido",AP4:AP102,"=",AQ4:AQ102,"=",AR4:AR102,"=")</f>
        <v/>
      </c>
    </row>
    <row r="108">
      <c r="A108" s="25" t="inlineStr">
        <is>
          <t>India Kolkata Rapido</t>
        </is>
      </c>
      <c r="B108" s="13" t="inlineStr">
        <is>
          <t>network_sum</t>
        </is>
      </c>
      <c r="C108" s="23">
        <f>SUMIFS(AN4:AN102,A4:A102,"India Kolkata Rapido",AP4:AP102,"=",AQ4:AQ102,"=",AR4:AR102,"=")</f>
        <v/>
      </c>
      <c r="D108" s="49">
        <f>ROUND(C108,0)</f>
        <v/>
      </c>
      <c r="E108" s="50">
        <f>SUMIFS(AO4:AO102,A4:A102,"India Kolkata Rapido",AP4:AP102,"=",AQ4:AQ102,"=",AR4:AR102,"=")</f>
        <v/>
      </c>
    </row>
    <row r="109">
      <c r="A109" s="25" t="inlineStr">
        <is>
          <t>Rapido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SUMIFS(AL4:AL102,A4:A102,"Rapido Mumbai",AP4:AP102,"=",AQ4:AQ102,"=",AR4:AR102,"=")</f>
        <v/>
      </c>
      <c r="E109" s="50">
        <f>SUMIFS(AM4:AM102,A4:A102,"Rapido Mumbai",AP4:AP102,"=",AQ4:AQ102,"=",AR4:AR102,"=")</f>
        <v/>
      </c>
    </row>
    <row r="110">
      <c r="A110" s="25" t="inlineStr">
        <is>
          <t>India Goa Rapido</t>
        </is>
      </c>
      <c r="B110" s="13" t="inlineStr">
        <is>
          <t>network_sum / ceil</t>
        </is>
      </c>
      <c r="C110" s="23">
        <f>SUMIFS(AN4:AN102,A4:A102,"India Goa Rapido",AP4:AP102,"=",AQ4:AQ102,"=",AR4:AR102,"=")</f>
        <v/>
      </c>
      <c r="D110" s="49">
        <f>IF(C110=0,0,CEILING(C110,1))</f>
        <v/>
      </c>
      <c r="E110" s="50">
        <f>SUMIFS(AO4:AO102,A4:A102,"India Goa Rapido",AP4:AP102,"=",AQ4:AQ102,"=",AR4:AR102,"=")</f>
        <v/>
      </c>
    </row>
    <row r="111">
      <c r="A111" s="25" t="inlineStr">
        <is>
          <t>India Kerala Rapido</t>
        </is>
      </c>
      <c r="B111" s="13" t="inlineStr">
        <is>
          <t>network_sum / ceil</t>
        </is>
      </c>
      <c r="C111" s="23">
        <f>SUMIFS(AN4:AN102,A4:A102,"India Kerala Rapido",AP4:AP102,"=",AQ4:AQ102,"=",AR4:AR102,"=")</f>
        <v/>
      </c>
      <c r="D111" s="49">
        <f>IF(C111=0,0,CEILING(C111,1))</f>
        <v/>
      </c>
      <c r="E111" s="50">
        <f>SUMIFS(AO4:AO102,A4:A102,"India Kerala Rapido",AP4:AP102,"=",AQ4:AQ102,"=",AR4:AR102,"=")</f>
        <v/>
      </c>
    </row>
    <row r="112">
      <c r="A112" s="25" t="inlineStr">
        <is>
          <t>India Mumbai Rapido</t>
        </is>
      </c>
      <c r="B112" s="13" t="inlineStr">
        <is>
          <t>network_sum / ceil</t>
        </is>
      </c>
      <c r="C112" s="23">
        <f>SUMIFS(AN4:AN102,A4:A102,"India Mumbai Rapido",AP4:AP102,"=",AQ4:AQ102,"=",AR4:AR102,"=")</f>
        <v/>
      </c>
      <c r="D112" s="49">
        <f>IF(C112=0,0,CEILING(C112,1))</f>
        <v/>
      </c>
      <c r="E112" s="50">
        <f>SUMIFS(AO4:AO102,A4:A102,"India Mumbai Rapido",AP4:AP102,"=",AQ4:AQ102,"=",AR4:AR102,"=")</f>
        <v/>
      </c>
    </row>
    <row r="113">
      <c r="A113" s="25" t="inlineStr">
        <is>
          <t>India Chennai Rapido</t>
        </is>
      </c>
      <c r="B113" s="13" t="inlineStr">
        <is>
          <t>network_sum</t>
        </is>
      </c>
      <c r="C113" s="23">
        <f>SUMIFS(AN4:AN102,A4:A102,"India Chennai Rapido",AP4:AP102,"=",AQ4:AQ102,"=",AR4:AR102,"=")</f>
        <v/>
      </c>
      <c r="D113" s="49">
        <f>ROUND(C113,0)</f>
        <v/>
      </c>
      <c r="E113" s="50">
        <f>SUMIFS(AO4:AO102,A4:A102,"India Chennai Rapido",AP4:AP102,"=",AQ4:AQ102,"=",AR4:AR102,"=")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2026-06-22T00:41:43Z</dcterms:created>
  <dcterms:modified xsi:type="dcterms:W3CDTF">2026-06-22T00:41:43Z</dcterms:modified>
</cp:coreProperties>
</file>