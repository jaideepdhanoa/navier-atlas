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opex'!$A$4:$G$4</definedName>
    <definedName name="som_floor_fleet">'Corridor economics'!$D$51</definedName>
    <definedName name="som_floor_rev">'Corridor economics'!$E$51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Rakta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United Arab Emirates</t>
        </is>
      </c>
      <c r="B4" s="26" t="n">
        <v>40000</v>
      </c>
      <c r="C4" s="27" t="n">
        <v>0.08500000000000001</v>
      </c>
      <c r="D4" s="19" t="n">
        <v>0.4</v>
      </c>
      <c r="E4" s="26" t="n">
        <v>22000</v>
      </c>
      <c r="F4" s="19" t="n">
        <v>0.74</v>
      </c>
      <c r="G4" s="26" t="n">
        <v>600000</v>
      </c>
      <c r="H4" s="14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56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Rakta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Gulf Authority Rakta</t>
        </is>
      </c>
      <c r="B4" s="29" t="inlineStr">
        <is>
          <t>United Arab Emirates</t>
        </is>
      </c>
      <c r="C4" s="30" t="inlineStr">
        <is>
          <t>Al Marjan Island public arrival marina → Rixos Bab Al Bahr beach jetty</t>
        </is>
      </c>
      <c r="D4" s="31" t="n">
        <v>0.2</v>
      </c>
      <c r="E4" s="26" t="n">
        <v>35</v>
      </c>
      <c r="F4" s="32" t="inlineStr">
        <is>
          <t>T3</t>
        </is>
      </c>
      <c r="G4" s="32" t="inlineStr">
        <is>
          <t>med-low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5217</v>
      </c>
      <c r="AH4" s="32" t="inlineStr">
        <is>
          <t>T3</t>
        </is>
      </c>
      <c r="AI4" s="32" t="inlineStr">
        <is>
          <t>med-low</t>
        </is>
      </c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n"/>
      <c r="AX4" s="44" t="n"/>
    </row>
    <row r="5">
      <c r="A5" s="29" t="inlineStr">
        <is>
          <t>Gulf Authority Rakta</t>
        </is>
      </c>
      <c r="B5" s="29" t="inlineStr">
        <is>
          <t>United Arab Emirates</t>
        </is>
      </c>
      <c r="C5" s="30" t="inlineStr">
        <is>
          <t>Ras Al Khaimah Harbour → RAK Corniche public pier</t>
        </is>
      </c>
      <c r="D5" s="31" t="n">
        <v>0.4</v>
      </c>
      <c r="E5" s="26" t="n">
        <v>35</v>
      </c>
      <c r="F5" s="32" t="inlineStr">
        <is>
          <t>T3</t>
        </is>
      </c>
      <c r="G5" s="32" t="inlineStr">
        <is>
          <t>med-low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5217</v>
      </c>
      <c r="AH5" s="32" t="inlineStr">
        <is>
          <t>T3</t>
        </is>
      </c>
      <c r="AI5" s="32" t="inlineStr">
        <is>
          <t>med-low</t>
        </is>
      </c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n"/>
      <c r="AX5" s="44" t="n"/>
    </row>
    <row r="6">
      <c r="A6" s="29" t="inlineStr">
        <is>
          <t>Gulf Authority Rakta</t>
        </is>
      </c>
      <c r="B6" s="29" t="inlineStr">
        <is>
          <t>United Arab Emirates</t>
        </is>
      </c>
      <c r="C6" s="30" t="inlineStr">
        <is>
          <t>Marjan Island Resort &amp; Spa beach jetty → Hampton by Hilton Marjan Island beach landing</t>
        </is>
      </c>
      <c r="D6" s="31" t="n">
        <v>0.4</v>
      </c>
      <c r="E6" s="26" t="n">
        <v>35</v>
      </c>
      <c r="F6" s="32" t="inlineStr">
        <is>
          <t>T3</t>
        </is>
      </c>
      <c r="G6" s="32" t="inlineStr">
        <is>
          <t>med-low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5217</v>
      </c>
      <c r="AH6" s="32" t="inlineStr">
        <is>
          <t>T3</t>
        </is>
      </c>
      <c r="AI6" s="32" t="inlineStr">
        <is>
          <t>med-low</t>
        </is>
      </c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n"/>
      <c r="AX6" s="44" t="n"/>
    </row>
    <row r="7">
      <c r="A7" s="29" t="inlineStr">
        <is>
          <t>Gulf Authority Rakta</t>
        </is>
      </c>
      <c r="B7" s="29" t="inlineStr">
        <is>
          <t>United Arab Emirates</t>
        </is>
      </c>
      <c r="C7" s="30" t="inlineStr">
        <is>
          <t>Wynn Al Marjan Island arrival lagoon → Marjan Island Resort &amp; Spa beach jetty</t>
        </is>
      </c>
      <c r="D7" s="31" t="n">
        <v>0.6</v>
      </c>
      <c r="E7" s="26" t="n">
        <v>35</v>
      </c>
      <c r="F7" s="32" t="inlineStr">
        <is>
          <t>T3</t>
        </is>
      </c>
      <c r="G7" s="32" t="inlineStr">
        <is>
          <t>med-low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5217</v>
      </c>
      <c r="AH7" s="32" t="inlineStr">
        <is>
          <t>T3</t>
        </is>
      </c>
      <c r="AI7" s="32" t="inlineStr">
        <is>
          <t>med-low</t>
        </is>
      </c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n"/>
      <c r="AX7" s="44" t="n"/>
    </row>
    <row r="8">
      <c r="A8" s="29" t="inlineStr">
        <is>
          <t>Gulf Authority Rakta</t>
        </is>
      </c>
      <c r="B8" s="29" t="inlineStr">
        <is>
          <t>United Arab Emirates</t>
        </is>
      </c>
      <c r="C8" s="30" t="inlineStr">
        <is>
          <t>Anantara Mina Al Arab Ras Al Khaimah Resort jetty → InterContinental Ras Al Khaimah Mina Al Arab Resort &amp; Spa jetty</t>
        </is>
      </c>
      <c r="D8" s="31" t="n">
        <v>0.6</v>
      </c>
      <c r="E8" s="26" t="n">
        <v>35</v>
      </c>
      <c r="F8" s="32" t="inlineStr">
        <is>
          <t>T3</t>
        </is>
      </c>
      <c r="G8" s="32" t="inlineStr">
        <is>
          <t>med-low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5217</v>
      </c>
      <c r="AH8" s="32" t="inlineStr">
        <is>
          <t>T3</t>
        </is>
      </c>
      <c r="AI8" s="32" t="inlineStr">
        <is>
          <t>med-low</t>
        </is>
      </c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n"/>
      <c r="AX8" s="44" t="n"/>
    </row>
    <row r="9">
      <c r="A9" s="29" t="inlineStr">
        <is>
          <t>Gulf Authority Rakta</t>
        </is>
      </c>
      <c r="B9" s="29" t="inlineStr">
        <is>
          <t>United Arab Emirates</t>
        </is>
      </c>
      <c r="C9" s="30" t="inlineStr">
        <is>
          <t>Al Hamra Marina &amp; Royal Yacht Club RAK → Waldorf Astoria Ras Al Khaimah jetty</t>
        </is>
      </c>
      <c r="D9" s="31" t="n">
        <v>0.7</v>
      </c>
      <c r="E9" s="26" t="n">
        <v>35</v>
      </c>
      <c r="F9" s="32" t="inlineStr">
        <is>
          <t>T3</t>
        </is>
      </c>
      <c r="G9" s="32" t="inlineStr">
        <is>
          <t>med-low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5217</v>
      </c>
      <c r="AH9" s="32" t="inlineStr">
        <is>
          <t>T3</t>
        </is>
      </c>
      <c r="AI9" s="32" t="inlineStr">
        <is>
          <t>med-low</t>
        </is>
      </c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n"/>
      <c r="AX9" s="44" t="n"/>
    </row>
    <row r="10">
      <c r="A10" s="29" t="inlineStr">
        <is>
          <t>Gulf Authority Rakta</t>
        </is>
      </c>
      <c r="B10" s="29" t="inlineStr">
        <is>
          <t>United Arab Emirates</t>
        </is>
      </c>
      <c r="C10" s="30" t="inlineStr">
        <is>
          <t>Al Marjan Island public arrival marina → Hampton by Hilton Marjan Island beach landing</t>
        </is>
      </c>
      <c r="D10" s="31" t="n">
        <v>0.8</v>
      </c>
      <c r="E10" s="26" t="n">
        <v>35</v>
      </c>
      <c r="F10" s="32" t="inlineStr">
        <is>
          <t>T3</t>
        </is>
      </c>
      <c r="G10" s="32" t="inlineStr">
        <is>
          <t>med-low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5217</v>
      </c>
      <c r="AH10" s="32" t="inlineStr">
        <is>
          <t>T3</t>
        </is>
      </c>
      <c r="AI10" s="32" t="inlineStr">
        <is>
          <t>med-low</t>
        </is>
      </c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n"/>
      <c r="AX10" s="44" t="n"/>
    </row>
    <row r="11">
      <c r="A11" s="29" t="inlineStr">
        <is>
          <t>Gulf Authority Rakta</t>
        </is>
      </c>
      <c r="B11" s="29" t="inlineStr">
        <is>
          <t>United Arab Emirates</t>
        </is>
      </c>
      <c r="C11" s="30" t="inlineStr">
        <is>
          <t>Mina Al Arab marina / lagoon basin → InterContinental Ras Al Khaimah Mina Al Arab Resort &amp; Spa jetty</t>
        </is>
      </c>
      <c r="D11" s="31" t="n">
        <v>0.9</v>
      </c>
      <c r="E11" s="26" t="n">
        <v>35</v>
      </c>
      <c r="F11" s="32" t="inlineStr">
        <is>
          <t>T3</t>
        </is>
      </c>
      <c r="G11" s="32" t="inlineStr">
        <is>
          <t>med-low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5217</v>
      </c>
      <c r="AH11" s="32" t="inlineStr">
        <is>
          <t>T3</t>
        </is>
      </c>
      <c r="AI11" s="32" t="inlineStr">
        <is>
          <t>med-low</t>
        </is>
      </c>
      <c r="AJ11" s="39" t="n">
        <v>0.1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n"/>
      <c r="AX11" s="44" t="n"/>
    </row>
    <row r="12">
      <c r="A12" s="29" t="inlineStr">
        <is>
          <t>Gulf Authority Rakta</t>
        </is>
      </c>
      <c r="B12" s="29" t="inlineStr">
        <is>
          <t>United Arab Emirates</t>
        </is>
      </c>
      <c r="C12" s="30" t="inlineStr">
        <is>
          <t>Anantara Mina Al Arab Ras Al Khaimah Resort jetty → Mina Al Arab marina / lagoon basin</t>
        </is>
      </c>
      <c r="D12" s="31" t="n">
        <v>0.9</v>
      </c>
      <c r="E12" s="26" t="n">
        <v>35</v>
      </c>
      <c r="F12" s="32" t="inlineStr">
        <is>
          <t>T3</t>
        </is>
      </c>
      <c r="G12" s="32" t="inlineStr">
        <is>
          <t>med-low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5217</v>
      </c>
      <c r="AH12" s="32" t="inlineStr">
        <is>
          <t>T3</t>
        </is>
      </c>
      <c r="AI12" s="32" t="inlineStr">
        <is>
          <t>med-low</t>
        </is>
      </c>
      <c r="AJ12" s="39" t="n">
        <v>0.1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/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n"/>
      <c r="AX12" s="44" t="n"/>
    </row>
    <row r="13">
      <c r="A13" s="29" t="inlineStr">
        <is>
          <t>Gulf Authority Rakta</t>
        </is>
      </c>
      <c r="B13" s="29" t="inlineStr">
        <is>
          <t>United Arab Emirates</t>
        </is>
      </c>
      <c r="C13" s="30" t="inlineStr">
        <is>
          <t>Rixos Bab Al Bahr beach jetty → Hampton by Hilton Marjan Island beach landing</t>
        </is>
      </c>
      <c r="D13" s="31" t="n">
        <v>1</v>
      </c>
      <c r="E13" s="26" t="n">
        <v>35</v>
      </c>
      <c r="F13" s="32" t="inlineStr">
        <is>
          <t>T3</t>
        </is>
      </c>
      <c r="G13" s="32" t="inlineStr">
        <is>
          <t>med-low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MIN(15,FLOOR(60*service_hr/J13,1))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5217</v>
      </c>
      <c r="AH13" s="32" t="inlineStr">
        <is>
          <t>T3</t>
        </is>
      </c>
      <c r="AI13" s="32" t="inlineStr">
        <is>
          <t>med-low</t>
        </is>
      </c>
      <c r="AJ13" s="39" t="n">
        <v>0.1</v>
      </c>
      <c r="AK13" s="34">
        <f>IF(AG13="","",AG13*AJ13)</f>
        <v/>
      </c>
      <c r="AL13" s="34">
        <f>IF(OR(AG13="",R13=0),"",MIN(IF(AS13="",9.9E+99,AS13),FLOOR(AK13/R13,1)))</f>
        <v/>
      </c>
      <c r="AM13" s="38">
        <f>IF(AL13="","",AL13*T13)</f>
        <v/>
      </c>
      <c r="AN13" s="36">
        <f>IF(OR(AG13="",R13=0),"",MIN(IF(AS13="",9.9E+99,AS13),AK13/R13))</f>
        <v/>
      </c>
      <c r="AO13" s="38">
        <f>IF(AN13="","",AN13*T13)</f>
        <v/>
      </c>
      <c r="AP13" s="40" t="n"/>
      <c r="AQ13" s="41" t="n"/>
      <c r="AR13" s="41" t="n"/>
      <c r="AS13" s="42" t="n"/>
      <c r="AT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U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V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W13" s="44" t="n"/>
      <c r="AX13" s="44" t="n"/>
    </row>
    <row r="14">
      <c r="A14" s="29" t="inlineStr">
        <is>
          <t>Gulf Authority Rakta</t>
        </is>
      </c>
      <c r="B14" s="29" t="inlineStr">
        <is>
          <t>United Arab Emirates</t>
        </is>
      </c>
      <c r="C14" s="30" t="inlineStr">
        <is>
          <t>Wynn Al Marjan Island arrival lagoon → Hampton by Hilton Marjan Island beach landing</t>
        </is>
      </c>
      <c r="D14" s="31" t="n">
        <v>1</v>
      </c>
      <c r="E14" s="26" t="n">
        <v>35</v>
      </c>
      <c r="F14" s="32" t="inlineStr">
        <is>
          <t>T3</t>
        </is>
      </c>
      <c r="G14" s="32" t="inlineStr">
        <is>
          <t>med-low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5217</v>
      </c>
      <c r="AH14" s="32" t="inlineStr">
        <is>
          <t>T3</t>
        </is>
      </c>
      <c r="AI14" s="32" t="inlineStr">
        <is>
          <t>med-low</t>
        </is>
      </c>
      <c r="AJ14" s="39" t="n">
        <v>0.1</v>
      </c>
      <c r="AK14" s="34">
        <f>IF(AG14="","",AG14*AJ14)</f>
        <v/>
      </c>
      <c r="AL14" s="34">
        <f>IF(OR(AG14="",R14=0),"",MIN(IF(AS14="",9.9E+99,AS14),FLOOR(AK14/R14,1)))</f>
        <v/>
      </c>
      <c r="AM14" s="38">
        <f>IF(AL14="","",AL14*T14)</f>
        <v/>
      </c>
      <c r="AN14" s="36">
        <f>IF(OR(AG14="",R14=0),"",MIN(IF(AS14="",9.9E+99,AS14),AK14/R14))</f>
        <v/>
      </c>
      <c r="AO14" s="38">
        <f>IF(AN14="","",AN14*T14)</f>
        <v/>
      </c>
      <c r="AP14" s="40" t="n"/>
      <c r="AQ14" s="41" t="n"/>
      <c r="AR14" s="41" t="n"/>
      <c r="AS14" s="42" t="n"/>
      <c r="AT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U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V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W14" s="44" t="n"/>
      <c r="AX14" s="44" t="n"/>
    </row>
    <row r="15">
      <c r="A15" s="29" t="inlineStr">
        <is>
          <t>Gulf Authority Rakta</t>
        </is>
      </c>
      <c r="B15" s="29" t="inlineStr">
        <is>
          <t>United Arab Emirates</t>
        </is>
      </c>
      <c r="C15" s="30" t="inlineStr">
        <is>
          <t>Ras Al Khaimah Harbour → Hilton Garden Inn Ras Al Khaimah (Corniche) jetty</t>
        </is>
      </c>
      <c r="D15" s="31" t="n">
        <v>1.1</v>
      </c>
      <c r="E15" s="26" t="n">
        <v>35</v>
      </c>
      <c r="F15" s="32" t="inlineStr">
        <is>
          <t>T3</t>
        </is>
      </c>
      <c r="G15" s="32" t="inlineStr">
        <is>
          <t>med-low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5217</v>
      </c>
      <c r="AH15" s="32" t="inlineStr">
        <is>
          <t>T3</t>
        </is>
      </c>
      <c r="AI15" s="32" t="inlineStr">
        <is>
          <t>med-low</t>
        </is>
      </c>
      <c r="AJ15" s="39" t="n">
        <v>0.1</v>
      </c>
      <c r="AK15" s="34">
        <f>IF(AG15="","",AG15*AJ15)</f>
        <v/>
      </c>
      <c r="AL15" s="34">
        <f>IF(OR(AG15="",R15=0),"",MIN(IF(AS15="",9.9E+99,AS15),FLOOR(AK15/R15,1)))</f>
        <v/>
      </c>
      <c r="AM15" s="38">
        <f>IF(AL15="","",AL15*T15)</f>
        <v/>
      </c>
      <c r="AN15" s="36">
        <f>IF(OR(AG15="",R15=0),"",MIN(IF(AS15="",9.9E+99,AS15),AK15/R15))</f>
        <v/>
      </c>
      <c r="AO15" s="38">
        <f>IF(AN15="","",AN15*T15)</f>
        <v/>
      </c>
      <c r="AP15" s="40" t="n"/>
      <c r="AQ15" s="41" t="n"/>
      <c r="AR15" s="41" t="n"/>
      <c r="AS15" s="42" t="n"/>
      <c r="AT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U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V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W15" s="44" t="n"/>
      <c r="AX15" s="44" t="n"/>
    </row>
    <row r="16">
      <c r="A16" s="29" t="inlineStr">
        <is>
          <t>Gulf Authority Rakta</t>
        </is>
      </c>
      <c r="B16" s="29" t="inlineStr">
        <is>
          <t>United Arab Emirates</t>
        </is>
      </c>
      <c r="C16" s="30" t="inlineStr">
        <is>
          <t>Hilton Garden Inn Ras Al Khaimah (Corniche) jetty → RAK Corniche public pier</t>
        </is>
      </c>
      <c r="D16" s="31" t="n">
        <v>1.2</v>
      </c>
      <c r="E16" s="26" t="n">
        <v>35</v>
      </c>
      <c r="F16" s="32" t="inlineStr">
        <is>
          <t>T3</t>
        </is>
      </c>
      <c r="G16" s="32" t="inlineStr">
        <is>
          <t>med-low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MIN(15,FLOOR(60*service_hr/J16,1))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5217</v>
      </c>
      <c r="AH16" s="32" t="inlineStr">
        <is>
          <t>T3</t>
        </is>
      </c>
      <c r="AI16" s="32" t="inlineStr">
        <is>
          <t>med-low</t>
        </is>
      </c>
      <c r="AJ16" s="39" t="n">
        <v>0.1</v>
      </c>
      <c r="AK16" s="34">
        <f>IF(AG16="","",AG16*AJ16)</f>
        <v/>
      </c>
      <c r="AL16" s="34">
        <f>IF(OR(AG16="",R16=0),"",MIN(IF(AS16="",9.9E+99,AS16),FLOOR(AK16/R16,1)))</f>
        <v/>
      </c>
      <c r="AM16" s="38">
        <f>IF(AL16="","",AL16*T16)</f>
        <v/>
      </c>
      <c r="AN16" s="36">
        <f>IF(OR(AG16="",R16=0),"",MIN(IF(AS16="",9.9E+99,AS16),AK16/R16))</f>
        <v/>
      </c>
      <c r="AO16" s="38">
        <f>IF(AN16="","",AN16*T16)</f>
        <v/>
      </c>
      <c r="AP16" s="40" t="n"/>
      <c r="AQ16" s="41" t="n"/>
      <c r="AR16" s="41" t="n"/>
      <c r="AS16" s="42" t="n"/>
      <c r="AT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U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V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W16" s="44" t="n"/>
      <c r="AX16" s="44" t="n"/>
    </row>
    <row r="17">
      <c r="A17" s="29" t="inlineStr">
        <is>
          <t>Gulf Authority Rakta</t>
        </is>
      </c>
      <c r="B17" s="29" t="inlineStr">
        <is>
          <t>United Arab Emirates</t>
        </is>
      </c>
      <c r="C17" s="30" t="inlineStr">
        <is>
          <t>Bin Majid Beach Resort jetty → Acacia by Bin Majid jetty</t>
        </is>
      </c>
      <c r="D17" s="31" t="n">
        <v>1.2</v>
      </c>
      <c r="E17" s="26" t="n">
        <v>35</v>
      </c>
      <c r="F17" s="32" t="inlineStr">
        <is>
          <t>T3</t>
        </is>
      </c>
      <c r="G17" s="32" t="inlineStr">
        <is>
          <t>med-low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5217</v>
      </c>
      <c r="AH17" s="32" t="inlineStr">
        <is>
          <t>T3</t>
        </is>
      </c>
      <c r="AI17" s="32" t="inlineStr">
        <is>
          <t>med-low</t>
        </is>
      </c>
      <c r="AJ17" s="39" t="n">
        <v>0.1</v>
      </c>
      <c r="AK17" s="34">
        <f>IF(AG17="","",AG17*AJ17)</f>
        <v/>
      </c>
      <c r="AL17" s="34">
        <f>IF(OR(AG17="",R17=0),"",MIN(IF(AS17="",9.9E+99,AS17),FLOOR(AK17/R17,1)))</f>
        <v/>
      </c>
      <c r="AM17" s="38">
        <f>IF(AL17="","",AL17*T17)</f>
        <v/>
      </c>
      <c r="AN17" s="36">
        <f>IF(OR(AG17="",R17=0),"",MIN(IF(AS17="",9.9E+99,AS17),AK17/R17))</f>
        <v/>
      </c>
      <c r="AO17" s="38">
        <f>IF(AN17="","",AN17*T17)</f>
        <v/>
      </c>
      <c r="AP17" s="40" t="n"/>
      <c r="AQ17" s="41" t="n"/>
      <c r="AR17" s="41" t="n"/>
      <c r="AS17" s="42" t="n"/>
      <c r="AT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U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V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W17" s="44" t="n"/>
      <c r="AX17" s="44" t="n"/>
    </row>
    <row r="18">
      <c r="A18" s="29" t="inlineStr">
        <is>
          <t>Gulf Authority Rakta</t>
        </is>
      </c>
      <c r="B18" s="29" t="inlineStr">
        <is>
          <t>United Arab Emirates</t>
        </is>
      </c>
      <c r="C18" s="30" t="inlineStr">
        <is>
          <t>Al Zorah Marina 1 → Ajman Marina</t>
        </is>
      </c>
      <c r="D18" s="31" t="n">
        <v>1.6</v>
      </c>
      <c r="E18" s="26" t="n">
        <v>35</v>
      </c>
      <c r="F18" s="32" t="inlineStr">
        <is>
          <t>T3</t>
        </is>
      </c>
      <c r="G18" s="32" t="inlineStr">
        <is>
          <t>med-low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5217</v>
      </c>
      <c r="AH18" s="32" t="inlineStr">
        <is>
          <t>T3</t>
        </is>
      </c>
      <c r="AI18" s="32" t="inlineStr">
        <is>
          <t>med-low</t>
        </is>
      </c>
      <c r="AJ18" s="39" t="n">
        <v>0.1</v>
      </c>
      <c r="AK18" s="34">
        <f>IF(AG18="","",AG18*AJ18)</f>
        <v/>
      </c>
      <c r="AL18" s="34">
        <f>IF(OR(AG18="",R18=0),"",MIN(IF(AS18="",9.9E+99,AS18),FLOOR(AK18/R18,1)))</f>
        <v/>
      </c>
      <c r="AM18" s="38">
        <f>IF(AL18="","",AL18*T18)</f>
        <v/>
      </c>
      <c r="AN18" s="36">
        <f>IF(OR(AG18="",R18=0),"",MIN(IF(AS18="",9.9E+99,AS18),AK18/R18))</f>
        <v/>
      </c>
      <c r="AO18" s="38">
        <f>IF(AN18="","",AN18*T18)</f>
        <v/>
      </c>
      <c r="AP18" s="40" t="n"/>
      <c r="AQ18" s="41" t="n"/>
      <c r="AR18" s="41" t="n"/>
      <c r="AS18" s="42" t="n"/>
      <c r="AT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U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V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W18" s="44" t="n"/>
      <c r="AX18" s="44" t="n"/>
    </row>
    <row r="19">
      <c r="A19" s="29" t="inlineStr">
        <is>
          <t>Gulf Authority Rakta</t>
        </is>
      </c>
      <c r="B19" s="29" t="inlineStr">
        <is>
          <t>United Arab Emirates</t>
        </is>
      </c>
      <c r="C19" s="30" t="inlineStr">
        <is>
          <t>Raksa → Ras Al Khaimah Harbour</t>
        </is>
      </c>
      <c r="D19" s="31" t="n">
        <v>1.9</v>
      </c>
      <c r="E19" s="26" t="n">
        <v>35</v>
      </c>
      <c r="F19" s="32" t="inlineStr">
        <is>
          <t>T3</t>
        </is>
      </c>
      <c r="G19" s="32" t="inlineStr">
        <is>
          <t>med-low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5217</v>
      </c>
      <c r="AH19" s="32" t="inlineStr">
        <is>
          <t>T3</t>
        </is>
      </c>
      <c r="AI19" s="32" t="inlineStr">
        <is>
          <t>med-low</t>
        </is>
      </c>
      <c r="AJ19" s="39" t="n">
        <v>0.1</v>
      </c>
      <c r="AK19" s="34">
        <f>IF(AG19="","",AG19*AJ19)</f>
        <v/>
      </c>
      <c r="AL19" s="34">
        <f>IF(OR(AG19="",R19=0),"",MIN(IF(AS19="",9.9E+99,AS19),FLOOR(AK19/R19,1)))</f>
        <v/>
      </c>
      <c r="AM19" s="38">
        <f>IF(AL19="","",AL19*T19)</f>
        <v/>
      </c>
      <c r="AN19" s="36">
        <f>IF(OR(AG19="",R19=0),"",MIN(IF(AS19="",9.9E+99,AS19),AK19/R19))</f>
        <v/>
      </c>
      <c r="AO19" s="38">
        <f>IF(AN19="","",AN19*T19)</f>
        <v/>
      </c>
      <c r="AP19" s="40" t="n"/>
      <c r="AQ19" s="41" t="n"/>
      <c r="AR19" s="41" t="n"/>
      <c r="AS19" s="42" t="n"/>
      <c r="AT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U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V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W19" s="44" t="n"/>
      <c r="AX19" s="44" t="n"/>
    </row>
    <row r="20">
      <c r="A20" s="29" t="inlineStr">
        <is>
          <t>Gulf Authority Rakta</t>
        </is>
      </c>
      <c r="B20" s="29" t="inlineStr">
        <is>
          <t>United Arab Emirates</t>
        </is>
      </c>
      <c r="C20" s="30" t="inlineStr">
        <is>
          <t>Sha'am Fishing Boat Harbour → Sha'am coastal staging point</t>
        </is>
      </c>
      <c r="D20" s="31" t="n">
        <v>2.1</v>
      </c>
      <c r="E20" s="26" t="n">
        <v>35</v>
      </c>
      <c r="F20" s="32" t="inlineStr">
        <is>
          <t>T3</t>
        </is>
      </c>
      <c r="G20" s="32" t="inlineStr">
        <is>
          <t>med-low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MIN(15,FLOOR(60*service_hr/J20,1))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>
        <v>5217</v>
      </c>
      <c r="AH20" s="32" t="inlineStr">
        <is>
          <t>T3</t>
        </is>
      </c>
      <c r="AI20" s="32" t="inlineStr">
        <is>
          <t>med-low</t>
        </is>
      </c>
      <c r="AJ20" s="39" t="n">
        <v>0.1</v>
      </c>
      <c r="AK20" s="34">
        <f>IF(AG20="","",AG20*AJ20)</f>
        <v/>
      </c>
      <c r="AL20" s="34">
        <f>IF(OR(AG20="",R20=0),"",MIN(IF(AS20="",9.9E+99,AS20),FLOOR(AK20/R20,1)))</f>
        <v/>
      </c>
      <c r="AM20" s="38">
        <f>IF(AL20="","",AL20*T20)</f>
        <v/>
      </c>
      <c r="AN20" s="36">
        <f>IF(OR(AG20="",R20=0),"",MIN(IF(AS20="",9.9E+99,AS20),AK20/R20))</f>
        <v/>
      </c>
      <c r="AO20" s="38">
        <f>IF(AN20="","",AN20*T20)</f>
        <v/>
      </c>
      <c r="AP20" s="40" t="n"/>
      <c r="AQ20" s="41" t="n"/>
      <c r="AR20" s="41" t="n"/>
      <c r="AS20" s="42" t="n"/>
      <c r="AT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U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V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W20" s="44" t="n"/>
      <c r="AX20" s="44" t="n"/>
    </row>
    <row r="21">
      <c r="A21" s="29" t="inlineStr">
        <is>
          <t>Gulf Authority Rakta</t>
        </is>
      </c>
      <c r="B21" s="29" t="inlineStr">
        <is>
          <t>United Arab Emirates</t>
        </is>
      </c>
      <c r="C21" s="30" t="inlineStr">
        <is>
          <t>The Cove Rotana Resort jetty → Anantara Mina Al Arab Ras Al Khaimah Resort jetty</t>
        </is>
      </c>
      <c r="D21" s="31" t="n">
        <v>2.2</v>
      </c>
      <c r="E21" s="26" t="n">
        <v>35</v>
      </c>
      <c r="F21" s="32" t="inlineStr">
        <is>
          <t>T3</t>
        </is>
      </c>
      <c r="G21" s="32" t="inlineStr">
        <is>
          <t>med-low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MIN(15,FLOOR(60*service_hr/J21,1))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5217</v>
      </c>
      <c r="AH21" s="32" t="inlineStr">
        <is>
          <t>T3</t>
        </is>
      </c>
      <c r="AI21" s="32" t="inlineStr">
        <is>
          <t>med-low</t>
        </is>
      </c>
      <c r="AJ21" s="39" t="n">
        <v>0.1</v>
      </c>
      <c r="AK21" s="34">
        <f>IF(AG21="","",AG21*AJ21)</f>
        <v/>
      </c>
      <c r="AL21" s="34">
        <f>IF(OR(AG21="",R21=0),"",MIN(IF(AS21="",9.9E+99,AS21),FLOOR(AK21/R21,1)))</f>
        <v/>
      </c>
      <c r="AM21" s="38">
        <f>IF(AL21="","",AL21*T21)</f>
        <v/>
      </c>
      <c r="AN21" s="36">
        <f>IF(OR(AG21="",R21=0),"",MIN(IF(AS21="",9.9E+99,AS21),AK21/R21))</f>
        <v/>
      </c>
      <c r="AO21" s="38">
        <f>IF(AN21="","",AN21*T21)</f>
        <v/>
      </c>
      <c r="AP21" s="40" t="n"/>
      <c r="AQ21" s="41" t="n"/>
      <c r="AR21" s="41" t="n"/>
      <c r="AS21" s="42" t="n"/>
      <c r="AT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U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V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W21" s="44" t="n"/>
      <c r="AX21" s="44" t="n"/>
    </row>
    <row r="22">
      <c r="A22" s="29" t="inlineStr">
        <is>
          <t>Gulf Authority Rakta</t>
        </is>
      </c>
      <c r="B22" s="29" t="inlineStr">
        <is>
          <t>United Arab Emirates</t>
        </is>
      </c>
      <c r="C22" s="30" t="inlineStr">
        <is>
          <t>ميناء صيادين غليلة → Sha'am Fishing Boat Harbour</t>
        </is>
      </c>
      <c r="D22" s="31" t="n">
        <v>2.5</v>
      </c>
      <c r="E22" s="26" t="n">
        <v>35</v>
      </c>
      <c r="F22" s="32" t="inlineStr">
        <is>
          <t>T3</t>
        </is>
      </c>
      <c r="G22" s="32" t="inlineStr">
        <is>
          <t>med-low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5217</v>
      </c>
      <c r="AH22" s="32" t="inlineStr">
        <is>
          <t>T3</t>
        </is>
      </c>
      <c r="AI22" s="32" t="inlineStr">
        <is>
          <t>med-low</t>
        </is>
      </c>
      <c r="AJ22" s="39" t="n">
        <v>0.1</v>
      </c>
      <c r="AK22" s="34">
        <f>IF(AG22="","",AG22*AJ22)</f>
        <v/>
      </c>
      <c r="AL22" s="34">
        <f>IF(OR(AG22="",R22=0),"",MIN(IF(AS22="",9.9E+99,AS22),FLOOR(AK22/R22,1)))</f>
        <v/>
      </c>
      <c r="AM22" s="38">
        <f>IF(AL22="","",AL22*T22)</f>
        <v/>
      </c>
      <c r="AN22" s="36">
        <f>IF(OR(AG22="",R22=0),"",MIN(IF(AS22="",9.9E+99,AS22),AK22/R22))</f>
        <v/>
      </c>
      <c r="AO22" s="38">
        <f>IF(AN22="","",AN22*T22)</f>
        <v/>
      </c>
      <c r="AP22" s="40" t="n"/>
      <c r="AQ22" s="41" t="n"/>
      <c r="AR22" s="41" t="n"/>
      <c r="AS22" s="42" t="n"/>
      <c r="AT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U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V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W22" s="44" t="n"/>
      <c r="AX22" s="44" t="n"/>
    </row>
    <row r="23">
      <c r="A23" s="29" t="inlineStr">
        <is>
          <t>Gulf Authority Rakta</t>
        </is>
      </c>
      <c r="B23" s="29" t="inlineStr">
        <is>
          <t>United Arab Emirates</t>
        </is>
      </c>
      <c r="C23" s="30" t="inlineStr">
        <is>
          <t>Daba Port → Dibba Al-Hisn Marina - Sharjah</t>
        </is>
      </c>
      <c r="D23" s="31" t="n">
        <v>2.7</v>
      </c>
      <c r="E23" s="26" t="n">
        <v>35</v>
      </c>
      <c r="F23" s="32" t="inlineStr">
        <is>
          <t>T3</t>
        </is>
      </c>
      <c r="G23" s="32" t="inlineStr">
        <is>
          <t>med-low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MIN(15,FLOOR(60*service_hr/J23,1))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5217</v>
      </c>
      <c r="AH23" s="32" t="inlineStr">
        <is>
          <t>T3</t>
        </is>
      </c>
      <c r="AI23" s="32" t="inlineStr">
        <is>
          <t>med-low</t>
        </is>
      </c>
      <c r="AJ23" s="39" t="n">
        <v>0.1</v>
      </c>
      <c r="AK23" s="34">
        <f>IF(AG23="","",AG23*AJ23)</f>
        <v/>
      </c>
      <c r="AL23" s="34">
        <f>IF(OR(AG23="",R23=0),"",MIN(IF(AS23="",9.9E+99,AS23),FLOOR(AK23/R23,1)))</f>
        <v/>
      </c>
      <c r="AM23" s="38">
        <f>IF(AL23="","",AL23*T23)</f>
        <v/>
      </c>
      <c r="AN23" s="36">
        <f>IF(OR(AG23="",R23=0),"",MIN(IF(AS23="",9.9E+99,AS23),AK23/R23))</f>
        <v/>
      </c>
      <c r="AO23" s="38">
        <f>IF(AN23="","",AN23*T23)</f>
        <v/>
      </c>
      <c r="AP23" s="40" t="n"/>
      <c r="AQ23" s="41" t="n"/>
      <c r="AR23" s="41" t="n"/>
      <c r="AS23" s="42" t="n"/>
      <c r="AT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U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V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W23" s="44" t="n"/>
      <c r="AX23" s="44" t="n"/>
    </row>
    <row r="24">
      <c r="A24" s="29" t="inlineStr">
        <is>
          <t>Gulf Authority Rakta</t>
        </is>
      </c>
      <c r="B24" s="29" t="inlineStr">
        <is>
          <t>United Arab Emirates</t>
        </is>
      </c>
      <c r="C24" s="30" t="inlineStr">
        <is>
          <t>ميناء صيادين غليلة → ميناء صيادين خورخوير</t>
        </is>
      </c>
      <c r="D24" s="31" t="n">
        <v>2.8</v>
      </c>
      <c r="E24" s="26" t="n">
        <v>35</v>
      </c>
      <c r="F24" s="32" t="inlineStr">
        <is>
          <t>T3</t>
        </is>
      </c>
      <c r="G24" s="32" t="inlineStr">
        <is>
          <t>med-low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5217</v>
      </c>
      <c r="AH24" s="32" t="inlineStr">
        <is>
          <t>T3</t>
        </is>
      </c>
      <c r="AI24" s="32" t="inlineStr">
        <is>
          <t>med-low</t>
        </is>
      </c>
      <c r="AJ24" s="39" t="n">
        <v>0.1</v>
      </c>
      <c r="AK24" s="34">
        <f>IF(AG24="","",AG24*AJ24)</f>
        <v/>
      </c>
      <c r="AL24" s="34">
        <f>IF(OR(AG24="",R24=0),"",MIN(IF(AS24="",9.9E+99,AS24),FLOOR(AK24/R24,1)))</f>
        <v/>
      </c>
      <c r="AM24" s="38">
        <f>IF(AL24="","",AL24*T24)</f>
        <v/>
      </c>
      <c r="AN24" s="36">
        <f>IF(OR(AG24="",R24=0),"",MIN(IF(AS24="",9.9E+99,AS24),AK24/R24))</f>
        <v/>
      </c>
      <c r="AO24" s="38">
        <f>IF(AN24="","",AN24*T24)</f>
        <v/>
      </c>
      <c r="AP24" s="40" t="n"/>
      <c r="AQ24" s="41" t="n"/>
      <c r="AR24" s="41" t="n"/>
      <c r="AS24" s="42" t="n"/>
      <c r="AT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U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V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W24" s="44" t="n"/>
      <c r="AX24" s="44" t="n"/>
    </row>
    <row r="25">
      <c r="A25" s="29" t="inlineStr">
        <is>
          <t>Gulf Authority Rakta</t>
        </is>
      </c>
      <c r="B25" s="29" t="inlineStr">
        <is>
          <t>United Arab Emirates</t>
        </is>
      </c>
      <c r="C25" s="30" t="inlineStr">
        <is>
          <t>Acacia by Bin Majid jetty → The Cove Rotana Resort jetty</t>
        </is>
      </c>
      <c r="D25" s="31" t="n">
        <v>2.9</v>
      </c>
      <c r="E25" s="26" t="n">
        <v>35</v>
      </c>
      <c r="F25" s="32" t="inlineStr">
        <is>
          <t>T3</t>
        </is>
      </c>
      <c r="G25" s="32" t="inlineStr">
        <is>
          <t>med-low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5217</v>
      </c>
      <c r="AH25" s="32" t="inlineStr">
        <is>
          <t>T3</t>
        </is>
      </c>
      <c r="AI25" s="32" t="inlineStr">
        <is>
          <t>med-low</t>
        </is>
      </c>
      <c r="AJ25" s="39" t="n">
        <v>0.1</v>
      </c>
      <c r="AK25" s="34">
        <f>IF(AG25="","",AG25*AJ25)</f>
        <v/>
      </c>
      <c r="AL25" s="34">
        <f>IF(OR(AG25="",R25=0),"",MIN(IF(AS25="",9.9E+99,AS25),FLOOR(AK25/R25,1)))</f>
        <v/>
      </c>
      <c r="AM25" s="38">
        <f>IF(AL25="","",AL25*T25)</f>
        <v/>
      </c>
      <c r="AN25" s="36">
        <f>IF(OR(AG25="",R25=0),"",MIN(IF(AS25="",9.9E+99,AS25),AK25/R25))</f>
        <v/>
      </c>
      <c r="AO25" s="38">
        <f>IF(AN25="","",AN25*T25)</f>
        <v/>
      </c>
      <c r="AP25" s="40" t="n"/>
      <c r="AQ25" s="41" t="n"/>
      <c r="AR25" s="41" t="n"/>
      <c r="AS25" s="42" t="n"/>
      <c r="AT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U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V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W25" s="44" t="n"/>
      <c r="AX25" s="44" t="n"/>
    </row>
    <row r="26">
      <c r="A26" s="29" t="inlineStr">
        <is>
          <t>Gulf Authority Rakta</t>
        </is>
      </c>
      <c r="B26" s="29" t="inlineStr">
        <is>
          <t>United Arab Emirates</t>
        </is>
      </c>
      <c r="C26" s="30" t="inlineStr">
        <is>
          <t>Raksa → Hilton Garden Inn Ras Al Khaimah (Corniche) jetty</t>
        </is>
      </c>
      <c r="D26" s="31" t="n">
        <v>3</v>
      </c>
      <c r="E26" s="26" t="n">
        <v>35</v>
      </c>
      <c r="F26" s="32" t="inlineStr">
        <is>
          <t>T3</t>
        </is>
      </c>
      <c r="G26" s="32" t="inlineStr">
        <is>
          <t>med-low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MIN(15,FLOOR(60*service_hr/J26,1))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5217</v>
      </c>
      <c r="AH26" s="32" t="inlineStr">
        <is>
          <t>T3</t>
        </is>
      </c>
      <c r="AI26" s="32" t="inlineStr">
        <is>
          <t>med-low</t>
        </is>
      </c>
      <c r="AJ26" s="39" t="n">
        <v>0.1</v>
      </c>
      <c r="AK26" s="34">
        <f>IF(AG26="","",AG26*AJ26)</f>
        <v/>
      </c>
      <c r="AL26" s="34">
        <f>IF(OR(AG26="",R26=0),"",MIN(IF(AS26="",9.9E+99,AS26),FLOOR(AK26/R26,1)))</f>
        <v/>
      </c>
      <c r="AM26" s="38">
        <f>IF(AL26="","",AL26*T26)</f>
        <v/>
      </c>
      <c r="AN26" s="36">
        <f>IF(OR(AG26="",R26=0),"",MIN(IF(AS26="",9.9E+99,AS26),AK26/R26))</f>
        <v/>
      </c>
      <c r="AO26" s="38">
        <f>IF(AN26="","",AN26*T26)</f>
        <v/>
      </c>
      <c r="AP26" s="40" t="n"/>
      <c r="AQ26" s="41" t="n"/>
      <c r="AR26" s="41" t="n"/>
      <c r="AS26" s="42" t="n"/>
      <c r="AT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U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V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W26" s="44" t="n"/>
      <c r="AX26" s="44" t="n"/>
    </row>
    <row r="27">
      <c r="A27" s="29" t="inlineStr">
        <is>
          <t>Gulf Authority Rakta</t>
        </is>
      </c>
      <c r="B27" s="29" t="inlineStr">
        <is>
          <t>United Arab Emirates</t>
        </is>
      </c>
      <c r="C27" s="30" t="inlineStr">
        <is>
          <t>Bin Majid Beach Resort jetty → The Cove Rotana Resort jetty</t>
        </is>
      </c>
      <c r="D27" s="31" t="n">
        <v>3</v>
      </c>
      <c r="E27" s="26" t="n">
        <v>35</v>
      </c>
      <c r="F27" s="32" t="inlineStr">
        <is>
          <t>T3</t>
        </is>
      </c>
      <c r="G27" s="32" t="inlineStr">
        <is>
          <t>med-low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MIN(15,FLOOR(60*service_hr/J27,1))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5217</v>
      </c>
      <c r="AH27" s="32" t="inlineStr">
        <is>
          <t>T3</t>
        </is>
      </c>
      <c r="AI27" s="32" t="inlineStr">
        <is>
          <t>med-low</t>
        </is>
      </c>
      <c r="AJ27" s="39" t="n">
        <v>0.1</v>
      </c>
      <c r="AK27" s="34">
        <f>IF(AG27="","",AG27*AJ27)</f>
        <v/>
      </c>
      <c r="AL27" s="34">
        <f>IF(OR(AG27="",R27=0),"",MIN(IF(AS27="",9.9E+99,AS27),FLOOR(AK27/R27,1)))</f>
        <v/>
      </c>
      <c r="AM27" s="38">
        <f>IF(AL27="","",AL27*T27)</f>
        <v/>
      </c>
      <c r="AN27" s="36">
        <f>IF(OR(AG27="",R27=0),"",MIN(IF(AS27="",9.9E+99,AS27),AK27/R27))</f>
        <v/>
      </c>
      <c r="AO27" s="38">
        <f>IF(AN27="","",AN27*T27)</f>
        <v/>
      </c>
      <c r="AP27" s="40" t="n"/>
      <c r="AQ27" s="41" t="n"/>
      <c r="AR27" s="41" t="n"/>
      <c r="AS27" s="42" t="n"/>
      <c r="AT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U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V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W27" s="44" t="n"/>
      <c r="AX27" s="44" t="n"/>
    </row>
    <row r="28">
      <c r="A28" s="29" t="inlineStr">
        <is>
          <t>Gulf Authority Rakta</t>
        </is>
      </c>
      <c r="B28" s="29" t="inlineStr">
        <is>
          <t>United Arab Emirates</t>
        </is>
      </c>
      <c r="C28" s="30" t="inlineStr">
        <is>
          <t>Al Zorah Marina 1 → Hamriyah Port Main Harbour</t>
        </is>
      </c>
      <c r="D28" s="31" t="n">
        <v>3.2</v>
      </c>
      <c r="E28" s="26" t="n">
        <v>35</v>
      </c>
      <c r="F28" s="32" t="inlineStr">
        <is>
          <t>T3</t>
        </is>
      </c>
      <c r="G28" s="32" t="inlineStr">
        <is>
          <t>med-low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5217</v>
      </c>
      <c r="AH28" s="32" t="inlineStr">
        <is>
          <t>T3</t>
        </is>
      </c>
      <c r="AI28" s="32" t="inlineStr">
        <is>
          <t>med-low</t>
        </is>
      </c>
      <c r="AJ28" s="39" t="n">
        <v>0.1</v>
      </c>
      <c r="AK28" s="34">
        <f>IF(AG28="","",AG28*AJ28)</f>
        <v/>
      </c>
      <c r="AL28" s="34">
        <f>IF(OR(AG28="",R28=0),"",MIN(IF(AS28="",9.9E+99,AS28),FLOOR(AK28/R28,1)))</f>
        <v/>
      </c>
      <c r="AM28" s="38">
        <f>IF(AL28="","",AL28*T28)</f>
        <v/>
      </c>
      <c r="AN28" s="36">
        <f>IF(OR(AG28="",R28=0),"",MIN(IF(AS28="",9.9E+99,AS28),AK28/R28))</f>
        <v/>
      </c>
      <c r="AO28" s="38">
        <f>IF(AN28="","",AN28*T28)</f>
        <v/>
      </c>
      <c r="AP28" s="40" t="n"/>
      <c r="AQ28" s="41" t="n"/>
      <c r="AR28" s="41" t="n"/>
      <c r="AS28" s="42" t="n"/>
      <c r="AT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U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V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W28" s="44" t="n"/>
      <c r="AX28" s="44" t="n"/>
    </row>
    <row r="29">
      <c r="A29" s="29" t="inlineStr">
        <is>
          <t>Gulf Authority Rakta</t>
        </is>
      </c>
      <c r="B29" s="29" t="inlineStr">
        <is>
          <t>United Arab Emirates</t>
        </is>
      </c>
      <c r="C29" s="30" t="inlineStr">
        <is>
          <t>Sha'am coastal staging point → ميناء صيادين غليلة</t>
        </is>
      </c>
      <c r="D29" s="31" t="n">
        <v>3.9</v>
      </c>
      <c r="E29" s="26" t="n">
        <v>35</v>
      </c>
      <c r="F29" s="32" t="inlineStr">
        <is>
          <t>T3</t>
        </is>
      </c>
      <c r="G29" s="32" t="inlineStr">
        <is>
          <t>med-low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MIN(15,FLOOR(60*service_hr/J29,1))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5217</v>
      </c>
      <c r="AH29" s="32" t="inlineStr">
        <is>
          <t>T3</t>
        </is>
      </c>
      <c r="AI29" s="32" t="inlineStr">
        <is>
          <t>med-low</t>
        </is>
      </c>
      <c r="AJ29" s="39" t="n">
        <v>0.1</v>
      </c>
      <c r="AK29" s="34">
        <f>IF(AG29="","",AG29*AJ29)</f>
        <v/>
      </c>
      <c r="AL29" s="34">
        <f>IF(OR(AG29="",R29=0),"",MIN(IF(AS29="",9.9E+99,AS29),FLOOR(AK29/R29,1)))</f>
        <v/>
      </c>
      <c r="AM29" s="38">
        <f>IF(AL29="","",AL29*T29)</f>
        <v/>
      </c>
      <c r="AN29" s="36">
        <f>IF(OR(AG29="",R29=0),"",MIN(IF(AS29="",9.9E+99,AS29),AK29/R29))</f>
        <v/>
      </c>
      <c r="AO29" s="38">
        <f>IF(AN29="","",AN29*T29)</f>
        <v/>
      </c>
      <c r="AP29" s="40" t="n"/>
      <c r="AQ29" s="41" t="n"/>
      <c r="AR29" s="41" t="n"/>
      <c r="AS29" s="42" t="n"/>
      <c r="AT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U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V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W29" s="44" t="n"/>
      <c r="AX29" s="44" t="n"/>
    </row>
    <row r="30">
      <c r="A30" s="29" t="inlineStr">
        <is>
          <t>Gulf Authority Rakta</t>
        </is>
      </c>
      <c r="B30" s="29" t="inlineStr">
        <is>
          <t>United Arab Emirates</t>
        </is>
      </c>
      <c r="C30" s="30" t="inlineStr">
        <is>
          <t>Ajman Marina → Hamriyah Port Main Harbour</t>
        </is>
      </c>
      <c r="D30" s="31" t="n">
        <v>3.9</v>
      </c>
      <c r="E30" s="26" t="n">
        <v>35</v>
      </c>
      <c r="F30" s="32" t="inlineStr">
        <is>
          <t>T3</t>
        </is>
      </c>
      <c r="G30" s="32" t="inlineStr">
        <is>
          <t>med-low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MIN(15,FLOOR(60*service_hr/J30,1))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>
        <v>5217</v>
      </c>
      <c r="AH30" s="32" t="inlineStr">
        <is>
          <t>T3</t>
        </is>
      </c>
      <c r="AI30" s="32" t="inlineStr">
        <is>
          <t>med-low</t>
        </is>
      </c>
      <c r="AJ30" s="39" t="n">
        <v>0.1</v>
      </c>
      <c r="AK30" s="34">
        <f>IF(AG30="","",AG30*AJ30)</f>
        <v/>
      </c>
      <c r="AL30" s="34">
        <f>IF(OR(AG30="",R30=0),"",MIN(IF(AS30="",9.9E+99,AS30),FLOOR(AK30/R30,1)))</f>
        <v/>
      </c>
      <c r="AM30" s="38">
        <f>IF(AL30="","",AL30*T30)</f>
        <v/>
      </c>
      <c r="AN30" s="36">
        <f>IF(OR(AG30="",R30=0),"",MIN(IF(AS30="",9.9E+99,AS30),AK30/R30))</f>
        <v/>
      </c>
      <c r="AO30" s="38">
        <f>IF(AN30="","",AN30*T30)</f>
        <v/>
      </c>
      <c r="AP30" s="40" t="n"/>
      <c r="AQ30" s="41" t="n"/>
      <c r="AR30" s="41" t="n"/>
      <c r="AS30" s="42" t="n"/>
      <c r="AT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U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V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W30" s="44" t="n"/>
      <c r="AX30" s="44" t="n"/>
    </row>
    <row r="31">
      <c r="A31" s="29" t="inlineStr">
        <is>
          <t>Gulf Authority Rakta</t>
        </is>
      </c>
      <c r="B31" s="29" t="inlineStr">
        <is>
          <t>United Arab Emirates</t>
        </is>
      </c>
      <c r="C31" s="30" t="inlineStr">
        <is>
          <t>ميناء صيادين خورخوير → Sha'am Fishing Boat Harbour</t>
        </is>
      </c>
      <c r="D31" s="31" t="n">
        <v>4.3</v>
      </c>
      <c r="E31" s="26" t="n">
        <v>35</v>
      </c>
      <c r="F31" s="32" t="inlineStr">
        <is>
          <t>T3</t>
        </is>
      </c>
      <c r="G31" s="32" t="inlineStr">
        <is>
          <t>med-low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MIN(15,FLOOR(60*service_hr/J31,1))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>
        <v>5217</v>
      </c>
      <c r="AH31" s="32" t="inlineStr">
        <is>
          <t>T3</t>
        </is>
      </c>
      <c r="AI31" s="32" t="inlineStr">
        <is>
          <t>med-low</t>
        </is>
      </c>
      <c r="AJ31" s="39" t="n">
        <v>0.1</v>
      </c>
      <c r="AK31" s="34">
        <f>IF(AG31="","",AG31*AJ31)</f>
        <v/>
      </c>
      <c r="AL31" s="34">
        <f>IF(OR(AG31="",R31=0),"",MIN(IF(AS31="",9.9E+99,AS31),FLOOR(AK31/R31,1)))</f>
        <v/>
      </c>
      <c r="AM31" s="38">
        <f>IF(AL31="","",AL31*T31)</f>
        <v/>
      </c>
      <c r="AN31" s="36">
        <f>IF(OR(AG31="",R31=0),"",MIN(IF(AS31="",9.9E+99,AS31),AK31/R31))</f>
        <v/>
      </c>
      <c r="AO31" s="38">
        <f>IF(AN31="","",AN31*T31)</f>
        <v/>
      </c>
      <c r="AP31" s="40" t="n"/>
      <c r="AQ31" s="41" t="n"/>
      <c r="AR31" s="41" t="n"/>
      <c r="AS31" s="42" t="n"/>
      <c r="AT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U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V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W31" s="44" t="n"/>
      <c r="AX31" s="44" t="n"/>
    </row>
    <row r="32">
      <c r="A32" s="29" t="inlineStr">
        <is>
          <t>Gulf Authority Rakta</t>
        </is>
      </c>
      <c r="B32" s="29" t="inlineStr">
        <is>
          <t>United Arab Emirates</t>
        </is>
      </c>
      <c r="C32" s="30" t="inlineStr">
        <is>
          <t>Zighy Marina → Dibba Al-Hisn Marina - Sharjah</t>
        </is>
      </c>
      <c r="D32" s="31" t="n">
        <v>5.3</v>
      </c>
      <c r="E32" s="26" t="n">
        <v>35</v>
      </c>
      <c r="F32" s="32" t="inlineStr">
        <is>
          <t>T3</t>
        </is>
      </c>
      <c r="G32" s="32" t="inlineStr">
        <is>
          <t>med-low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MIN(15,FLOOR(60*service_hr/J32,1))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>
        <v>5217</v>
      </c>
      <c r="AH32" s="32" t="inlineStr">
        <is>
          <t>T3</t>
        </is>
      </c>
      <c r="AI32" s="32" t="inlineStr">
        <is>
          <t>med-low</t>
        </is>
      </c>
      <c r="AJ32" s="39" t="n">
        <v>0.1</v>
      </c>
      <c r="AK32" s="34">
        <f>IF(AG32="","",AG32*AJ32)</f>
        <v/>
      </c>
      <c r="AL32" s="34">
        <f>IF(OR(AG32="",R32=0),"",MIN(IF(AS32="",9.9E+99,AS32),FLOOR(AK32/R32,1)))</f>
        <v/>
      </c>
      <c r="AM32" s="38">
        <f>IF(AL32="","",AL32*T32)</f>
        <v/>
      </c>
      <c r="AN32" s="36">
        <f>IF(OR(AG32="",R32=0),"",MIN(IF(AS32="",9.9E+99,AS32),AK32/R32))</f>
        <v/>
      </c>
      <c r="AO32" s="38">
        <f>IF(AN32="","",AN32*T32)</f>
        <v/>
      </c>
      <c r="AP32" s="40" t="n"/>
      <c r="AQ32" s="41" t="n"/>
      <c r="AR32" s="41" t="n"/>
      <c r="AS32" s="42" t="n"/>
      <c r="AT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U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V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W32" s="44" t="n"/>
      <c r="AX32" s="44" t="n"/>
    </row>
    <row r="33">
      <c r="A33" s="29" t="inlineStr">
        <is>
          <t>Gulf Authority Rakta</t>
        </is>
      </c>
      <c r="B33" s="29" t="inlineStr">
        <is>
          <t>United Arab Emirates</t>
        </is>
      </c>
      <c r="C33" s="30" t="inlineStr">
        <is>
          <t>Gumda Fishing Harbour → Sha'am coastal staging point</t>
        </is>
      </c>
      <c r="D33" s="31" t="n">
        <v>5.3</v>
      </c>
      <c r="E33" s="26" t="n">
        <v>35</v>
      </c>
      <c r="F33" s="32" t="inlineStr">
        <is>
          <t>T3</t>
        </is>
      </c>
      <c r="G33" s="32" t="inlineStr">
        <is>
          <t>med-low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MIN(15,FLOOR(60*service_hr/J33,1))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5217</v>
      </c>
      <c r="AH33" s="32" t="inlineStr">
        <is>
          <t>T3</t>
        </is>
      </c>
      <c r="AI33" s="32" t="inlineStr">
        <is>
          <t>med-low</t>
        </is>
      </c>
      <c r="AJ33" s="39" t="n">
        <v>0.1</v>
      </c>
      <c r="AK33" s="34">
        <f>IF(AG33="","",AG33*AJ33)</f>
        <v/>
      </c>
      <c r="AL33" s="34">
        <f>IF(OR(AG33="",R33=0),"",MIN(IF(AS33="",9.9E+99,AS33),FLOOR(AK33/R33,1)))</f>
        <v/>
      </c>
      <c r="AM33" s="38">
        <f>IF(AL33="","",AL33*T33)</f>
        <v/>
      </c>
      <c r="AN33" s="36">
        <f>IF(OR(AG33="",R33=0),"",MIN(IF(AS33="",9.9E+99,AS33),AK33/R33))</f>
        <v/>
      </c>
      <c r="AO33" s="38">
        <f>IF(AN33="","",AN33*T33)</f>
        <v/>
      </c>
      <c r="AP33" s="40" t="n"/>
      <c r="AQ33" s="41" t="n"/>
      <c r="AR33" s="41" t="n"/>
      <c r="AS33" s="42" t="n"/>
      <c r="AT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U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V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W33" s="44" t="n"/>
      <c r="AX33" s="44" t="n"/>
    </row>
    <row r="34">
      <c r="A34" s="29" t="inlineStr">
        <is>
          <t>Gulf Authority Rakta</t>
        </is>
      </c>
      <c r="B34" s="29" t="inlineStr">
        <is>
          <t>United Arab Emirates</t>
        </is>
      </c>
      <c r="C34" s="30" t="inlineStr">
        <is>
          <t>Gumda Fishing Harbour → Sha'am Fishing Boat Harbour</t>
        </is>
      </c>
      <c r="D34" s="31" t="n">
        <v>7.2</v>
      </c>
      <c r="E34" s="26" t="n">
        <v>35</v>
      </c>
      <c r="F34" s="32" t="inlineStr">
        <is>
          <t>T3</t>
        </is>
      </c>
      <c r="G34" s="32" t="inlineStr">
        <is>
          <t>med-low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MIN(15,FLOOR(60*service_hr/J34,1))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5217</v>
      </c>
      <c r="AH34" s="32" t="inlineStr">
        <is>
          <t>T3</t>
        </is>
      </c>
      <c r="AI34" s="32" t="inlineStr">
        <is>
          <t>med-low</t>
        </is>
      </c>
      <c r="AJ34" s="39" t="n">
        <v>0.1</v>
      </c>
      <c r="AK34" s="34">
        <f>IF(AG34="","",AG34*AJ34)</f>
        <v/>
      </c>
      <c r="AL34" s="34">
        <f>IF(OR(AG34="",R34=0),"",MIN(IF(AS34="",9.9E+99,AS34),FLOOR(AK34/R34,1)))</f>
        <v/>
      </c>
      <c r="AM34" s="38">
        <f>IF(AL34="","",AL34*T34)</f>
        <v/>
      </c>
      <c r="AN34" s="36">
        <f>IF(OR(AG34="",R34=0),"",MIN(IF(AS34="",9.9E+99,AS34),AK34/R34))</f>
        <v/>
      </c>
      <c r="AO34" s="38">
        <f>IF(AN34="","",AN34*T34)</f>
        <v/>
      </c>
      <c r="AP34" s="40" t="n"/>
      <c r="AQ34" s="41" t="n"/>
      <c r="AR34" s="41" t="n"/>
      <c r="AS34" s="42" t="n"/>
      <c r="AT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U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V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W34" s="44" t="n"/>
      <c r="AX34" s="44" t="n"/>
    </row>
    <row r="35">
      <c r="A35" s="29" t="inlineStr">
        <is>
          <t>Gulf Authority Rakta</t>
        </is>
      </c>
      <c r="B35" s="29" t="inlineStr">
        <is>
          <t>United Arab Emirates</t>
        </is>
      </c>
      <c r="C35" s="30" t="inlineStr">
        <is>
          <t>UAQ Marine Club → Hamriyah Port Main Harbour</t>
        </is>
      </c>
      <c r="D35" s="31" t="n">
        <v>10.5</v>
      </c>
      <c r="E35" s="26" t="n">
        <v>35</v>
      </c>
      <c r="F35" s="32" t="inlineStr">
        <is>
          <t>T3</t>
        </is>
      </c>
      <c r="G35" s="32" t="inlineStr">
        <is>
          <t>med-low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MIN(15,FLOOR(60*service_hr/J35,1))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>
        <v>5217</v>
      </c>
      <c r="AH35" s="32" t="inlineStr">
        <is>
          <t>T3</t>
        </is>
      </c>
      <c r="AI35" s="32" t="inlineStr">
        <is>
          <t>med-low</t>
        </is>
      </c>
      <c r="AJ35" s="39" t="n">
        <v>0.1</v>
      </c>
      <c r="AK35" s="34">
        <f>IF(AG35="","",AG35*AJ35)</f>
        <v/>
      </c>
      <c r="AL35" s="34">
        <f>IF(OR(AG35="",R35=0),"",MIN(IF(AS35="",9.9E+99,AS35),FLOOR(AK35/R35,1)))</f>
        <v/>
      </c>
      <c r="AM35" s="38">
        <f>IF(AL35="","",AL35*T35)</f>
        <v/>
      </c>
      <c r="AN35" s="36">
        <f>IF(OR(AG35="",R35=0),"",MIN(IF(AS35="",9.9E+99,AS35),AK35/R35))</f>
        <v/>
      </c>
      <c r="AO35" s="38">
        <f>IF(AN35="","",AN35*T35)</f>
        <v/>
      </c>
      <c r="AP35" s="40" t="n"/>
      <c r="AQ35" s="41" t="n"/>
      <c r="AR35" s="41" t="n"/>
      <c r="AS35" s="42" t="n"/>
      <c r="AT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U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V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W35" s="44" t="n"/>
      <c r="AX35" s="44" t="n"/>
    </row>
    <row r="36">
      <c r="A36" s="29" t="inlineStr">
        <is>
          <t>Gulf Authority Rakta</t>
        </is>
      </c>
      <c r="B36" s="29" t="inlineStr">
        <is>
          <t>United Arab Emirates</t>
        </is>
      </c>
      <c r="C36" s="30" t="inlineStr">
        <is>
          <t>UAQ Marine Club → Rixos Bab Al Bahr beach jetty</t>
        </is>
      </c>
      <c r="D36" s="31" t="n">
        <v>11.8</v>
      </c>
      <c r="E36" s="26" t="n">
        <v>35</v>
      </c>
      <c r="F36" s="32" t="inlineStr">
        <is>
          <t>T3</t>
        </is>
      </c>
      <c r="G36" s="32" t="inlineStr">
        <is>
          <t>med-low</t>
        </is>
      </c>
      <c r="H36" s="19" t="n">
        <v>1</v>
      </c>
      <c r="I36" s="33">
        <f>60*D36/cruise_kt</f>
        <v/>
      </c>
      <c r="J36" s="33">
        <f>I36+turn_min+dwell_min</f>
        <v/>
      </c>
      <c r="K36" s="34">
        <f>MIN(15,FLOOR(60*service_hr/J36,1))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>
        <v>5217</v>
      </c>
      <c r="AH36" s="32" t="inlineStr">
        <is>
          <t>T3</t>
        </is>
      </c>
      <c r="AI36" s="32" t="inlineStr">
        <is>
          <t>med-low</t>
        </is>
      </c>
      <c r="AJ36" s="39" t="n">
        <v>0.1</v>
      </c>
      <c r="AK36" s="34">
        <f>IF(AG36="","",AG36*AJ36)</f>
        <v/>
      </c>
      <c r="AL36" s="34">
        <f>IF(OR(AG36="",R36=0),"",MIN(IF(AS36="",9.9E+99,AS36),FLOOR(AK36/R36,1)))</f>
        <v/>
      </c>
      <c r="AM36" s="38">
        <f>IF(AL36="","",AL36*T36)</f>
        <v/>
      </c>
      <c r="AN36" s="36">
        <f>IF(OR(AG36="",R36=0),"",MIN(IF(AS36="",9.9E+99,AS36),AK36/R36))</f>
        <v/>
      </c>
      <c r="AO36" s="38">
        <f>IF(AN36="","",AN36*T36)</f>
        <v/>
      </c>
      <c r="AP36" s="40" t="n"/>
      <c r="AQ36" s="41" t="n"/>
      <c r="AR36" s="41" t="n"/>
      <c r="AS36" s="42" t="n"/>
      <c r="AT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U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V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W36" s="44" t="n"/>
      <c r="AX36" s="44" t="n"/>
    </row>
    <row r="37">
      <c r="A37" s="29" t="inlineStr">
        <is>
          <t>Gulf Authority Rakta</t>
        </is>
      </c>
      <c r="B37" s="29" t="inlineStr">
        <is>
          <t>United Arab Emirates</t>
        </is>
      </c>
      <c r="C37" s="30" t="inlineStr">
        <is>
          <t>Ras Al Khaimah → ميناء صيادين غليلة</t>
        </is>
      </c>
      <c r="D37" s="31" t="n">
        <v>11.9</v>
      </c>
      <c r="E37" s="26" t="n">
        <v>35</v>
      </c>
      <c r="F37" s="32" t="inlineStr">
        <is>
          <t>T3</t>
        </is>
      </c>
      <c r="G37" s="32" t="inlineStr">
        <is>
          <t>med-low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MIN(15,FLOOR(60*service_hr/J37,1))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>
        <v>5217</v>
      </c>
      <c r="AH37" s="32" t="inlineStr">
        <is>
          <t>T3</t>
        </is>
      </c>
      <c r="AI37" s="32" t="inlineStr">
        <is>
          <t>med-low</t>
        </is>
      </c>
      <c r="AJ37" s="39" t="n">
        <v>0.1</v>
      </c>
      <c r="AK37" s="34">
        <f>IF(AG37="","",AG37*AJ37)</f>
        <v/>
      </c>
      <c r="AL37" s="34">
        <f>IF(OR(AG37="",R37=0),"",MIN(IF(AS37="",9.9E+99,AS37),FLOOR(AK37/R37,1)))</f>
        <v/>
      </c>
      <c r="AM37" s="38">
        <f>IF(AL37="","",AL37*T37)</f>
        <v/>
      </c>
      <c r="AN37" s="36">
        <f>IF(OR(AG37="",R37=0),"",MIN(IF(AS37="",9.9E+99,AS37),AK37/R37))</f>
        <v/>
      </c>
      <c r="AO37" s="38">
        <f>IF(AN37="","",AN37*T37)</f>
        <v/>
      </c>
      <c r="AP37" s="40" t="n"/>
      <c r="AQ37" s="41" t="n"/>
      <c r="AR37" s="41" t="n"/>
      <c r="AS37" s="42" t="n"/>
      <c r="AT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U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V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W37" s="44" t="n"/>
      <c r="AX37" s="44" t="n"/>
    </row>
    <row r="38">
      <c r="A38" s="29" t="inlineStr">
        <is>
          <t>Gulf Authority Rakta</t>
        </is>
      </c>
      <c r="B38" s="29" t="inlineStr">
        <is>
          <t>United Arab Emirates</t>
        </is>
      </c>
      <c r="C38" s="30" t="inlineStr">
        <is>
          <t>Ras Al Khaimah → Al Hamra Marina &amp; Royal Yacht Club RAK</t>
        </is>
      </c>
      <c r="D38" s="31" t="n">
        <v>13.6</v>
      </c>
      <c r="E38" s="26" t="n">
        <v>35</v>
      </c>
      <c r="F38" s="32" t="inlineStr">
        <is>
          <t>T3</t>
        </is>
      </c>
      <c r="G38" s="32" t="inlineStr">
        <is>
          <t>med-low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MIN(15,FLOOR(60*service_hr/J38,1))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5217</v>
      </c>
      <c r="AH38" s="32" t="inlineStr">
        <is>
          <t>T3</t>
        </is>
      </c>
      <c r="AI38" s="32" t="inlineStr">
        <is>
          <t>med-low</t>
        </is>
      </c>
      <c r="AJ38" s="39" t="n">
        <v>0.1</v>
      </c>
      <c r="AK38" s="34">
        <f>IF(AG38="","",AG38*AJ38)</f>
        <v/>
      </c>
      <c r="AL38" s="34">
        <f>IF(OR(AG38="",R38=0),"",MIN(IF(AS38="",9.9E+99,AS38),FLOOR(AK38/R38,1)))</f>
        <v/>
      </c>
      <c r="AM38" s="38">
        <f>IF(AL38="","",AL38*T38)</f>
        <v/>
      </c>
      <c r="AN38" s="36">
        <f>IF(OR(AG38="",R38=0),"",MIN(IF(AS38="",9.9E+99,AS38),AK38/R38))</f>
        <v/>
      </c>
      <c r="AO38" s="38">
        <f>IF(AN38="","",AN38*T38)</f>
        <v/>
      </c>
      <c r="AP38" s="40" t="n"/>
      <c r="AQ38" s="41" t="n"/>
      <c r="AR38" s="41" t="n"/>
      <c r="AS38" s="42" t="n"/>
      <c r="AT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U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V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W38" s="44" t="n"/>
      <c r="AX38" s="44" t="n"/>
    </row>
    <row r="39">
      <c r="A39" s="29" t="inlineStr">
        <is>
          <t>Gulf Authority Rakta</t>
        </is>
      </c>
      <c r="B39" s="29" t="inlineStr">
        <is>
          <t>United Arab Emirates</t>
        </is>
      </c>
      <c r="C39" s="30" t="inlineStr">
        <is>
          <t>Ras Al Khaimah → Al Marjan Island public arrival marina</t>
        </is>
      </c>
      <c r="D39" s="31" t="n">
        <v>16</v>
      </c>
      <c r="E39" s="26" t="n">
        <v>35</v>
      </c>
      <c r="F39" s="32" t="inlineStr">
        <is>
          <t>T3</t>
        </is>
      </c>
      <c r="G39" s="32" t="inlineStr">
        <is>
          <t>med-low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MIN(15,FLOOR(60*service_hr/J39,1))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5217</v>
      </c>
      <c r="AH39" s="32" t="inlineStr">
        <is>
          <t>T3</t>
        </is>
      </c>
      <c r="AI39" s="32" t="inlineStr">
        <is>
          <t>med-low</t>
        </is>
      </c>
      <c r="AJ39" s="39" t="n">
        <v>0.1</v>
      </c>
      <c r="AK39" s="34">
        <f>IF(AG39="","",AG39*AJ39)</f>
        <v/>
      </c>
      <c r="AL39" s="34">
        <f>IF(OR(AG39="",R39=0),"",MIN(IF(AS39="",9.9E+99,AS39),FLOOR(AK39/R39,1)))</f>
        <v/>
      </c>
      <c r="AM39" s="38">
        <f>IF(AL39="","",AL39*T39)</f>
        <v/>
      </c>
      <c r="AN39" s="36">
        <f>IF(OR(AG39="",R39=0),"",MIN(IF(AS39="",9.9E+99,AS39),AK39/R39))</f>
        <v/>
      </c>
      <c r="AO39" s="38">
        <f>IF(AN39="","",AN39*T39)</f>
        <v/>
      </c>
      <c r="AP39" s="40" t="n"/>
      <c r="AQ39" s="41" t="n"/>
      <c r="AR39" s="41" t="n"/>
      <c r="AS39" s="42" t="n"/>
      <c r="AT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U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V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W39" s="44" t="n"/>
      <c r="AX39" s="44" t="n"/>
    </row>
    <row r="40">
      <c r="A40" s="29" t="inlineStr">
        <is>
          <t>Gulf Authority Rakta</t>
        </is>
      </c>
      <c r="B40" s="29" t="inlineStr">
        <is>
          <t>United Arab Emirates</t>
        </is>
      </c>
      <c r="C40" s="30" t="inlineStr">
        <is>
          <t>Ras Al Khaimah → UAQ Marine Club</t>
        </is>
      </c>
      <c r="D40" s="31" t="n">
        <v>26.6</v>
      </c>
      <c r="E40" s="26" t="n">
        <v>35</v>
      </c>
      <c r="F40" s="32" t="inlineStr">
        <is>
          <t>T3</t>
        </is>
      </c>
      <c r="G40" s="32" t="inlineStr">
        <is>
          <t>med-low</t>
        </is>
      </c>
      <c r="H40" s="19" t="n">
        <v>1</v>
      </c>
      <c r="I40" s="33">
        <f>60*D40/cruise_kt</f>
        <v/>
      </c>
      <c r="J40" s="33">
        <f>I40+turn_min+dwell_min</f>
        <v/>
      </c>
      <c r="K40" s="34">
        <f>MIN(15,FLOOR(60*service_hr/J40,1))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>
        <v>5217</v>
      </c>
      <c r="AH40" s="32" t="inlineStr">
        <is>
          <t>T3</t>
        </is>
      </c>
      <c r="AI40" s="32" t="inlineStr">
        <is>
          <t>med-low</t>
        </is>
      </c>
      <c r="AJ40" s="39" t="n">
        <v>0.1</v>
      </c>
      <c r="AK40" s="34">
        <f>IF(AG40="","",AG40*AJ40)</f>
        <v/>
      </c>
      <c r="AL40" s="34">
        <f>IF(OR(AG40="",R40=0),"",MIN(IF(AS40="",9.9E+99,AS40),FLOOR(AK40/R40,1)))</f>
        <v/>
      </c>
      <c r="AM40" s="38">
        <f>IF(AL40="","",AL40*T40)</f>
        <v/>
      </c>
      <c r="AN40" s="36">
        <f>IF(OR(AG40="",R40=0),"",MIN(IF(AS40="",9.9E+99,AS40),AK40/R40))</f>
        <v/>
      </c>
      <c r="AO40" s="38">
        <f>IF(AN40="","",AN40*T40)</f>
        <v/>
      </c>
      <c r="AP40" s="40" t="n"/>
      <c r="AQ40" s="41" t="n"/>
      <c r="AR40" s="41" t="n"/>
      <c r="AS40" s="42" t="n"/>
      <c r="AT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U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V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W40" s="44" t="n"/>
      <c r="AX40" s="44" t="n"/>
    </row>
    <row r="41">
      <c r="A41" s="29" t="inlineStr">
        <is>
          <t>Gulf Authority Rakta</t>
        </is>
      </c>
      <c r="B41" s="29" t="inlineStr">
        <is>
          <t>United Arab Emirates</t>
        </is>
      </c>
      <c r="C41" s="30" t="inlineStr">
        <is>
          <t>Ras Al Khaimah → Ajman Marina</t>
        </is>
      </c>
      <c r="D41" s="31" t="n">
        <v>39</v>
      </c>
      <c r="E41" s="26" t="n">
        <v>35</v>
      </c>
      <c r="F41" s="32" t="inlineStr">
        <is>
          <t>T3</t>
        </is>
      </c>
      <c r="G41" s="32" t="inlineStr">
        <is>
          <t>med-low</t>
        </is>
      </c>
      <c r="H41" s="19" t="n">
        <v>1</v>
      </c>
      <c r="I41" s="33">
        <f>60*D41/cruise_kt</f>
        <v/>
      </c>
      <c r="J41" s="33">
        <f>I41+turn_min+dwell_min</f>
        <v/>
      </c>
      <c r="K41" s="34">
        <f>MIN(15,FLOOR(60*service_hr/J41,1))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>
        <v>5217</v>
      </c>
      <c r="AH41" s="32" t="inlineStr">
        <is>
          <t>T3</t>
        </is>
      </c>
      <c r="AI41" s="32" t="inlineStr">
        <is>
          <t>med-low</t>
        </is>
      </c>
      <c r="AJ41" s="39" t="n">
        <v>0.1</v>
      </c>
      <c r="AK41" s="34">
        <f>IF(AG41="","",AG41*AJ41)</f>
        <v/>
      </c>
      <c r="AL41" s="34">
        <f>IF(OR(AG41="",R41=0),"",MIN(IF(AS41="",9.9E+99,AS41),FLOOR(AK41/R41,1)))</f>
        <v/>
      </c>
      <c r="AM41" s="38">
        <f>IF(AL41="","",AL41*T41)</f>
        <v/>
      </c>
      <c r="AN41" s="36">
        <f>IF(OR(AG41="",R41=0),"",MIN(IF(AS41="",9.9E+99,AS41),AK41/R41))</f>
        <v/>
      </c>
      <c r="AO41" s="38">
        <f>IF(AN41="","",AN41*T41)</f>
        <v/>
      </c>
      <c r="AP41" s="40" t="n"/>
      <c r="AQ41" s="41" t="n"/>
      <c r="AR41" s="41" t="n"/>
      <c r="AS41" s="42" t="n"/>
      <c r="AT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U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V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W41" s="44" t="n"/>
      <c r="AX41" s="44" t="n"/>
    </row>
    <row r="42">
      <c r="A42" s="29" t="inlineStr">
        <is>
          <t>Gulf Authority Rakta</t>
        </is>
      </c>
      <c r="B42" s="29" t="inlineStr">
        <is>
          <t>United Arab Emirates</t>
        </is>
      </c>
      <c r="C42" s="30" t="inlineStr">
        <is>
          <t>Ras Al Khaimah → Sharjah</t>
        </is>
      </c>
      <c r="D42" s="31" t="n">
        <v>42</v>
      </c>
      <c r="E42" s="26" t="n">
        <v>35</v>
      </c>
      <c r="F42" s="32" t="inlineStr">
        <is>
          <t>T3</t>
        </is>
      </c>
      <c r="G42" s="32" t="inlineStr">
        <is>
          <t>med-low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MIN(15,FLOOR(60*service_hr/J42,1))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>
        <v>5217</v>
      </c>
      <c r="AH42" s="32" t="inlineStr">
        <is>
          <t>T3</t>
        </is>
      </c>
      <c r="AI42" s="32" t="inlineStr">
        <is>
          <t>med-low</t>
        </is>
      </c>
      <c r="AJ42" s="39" t="n">
        <v>0.1</v>
      </c>
      <c r="AK42" s="34">
        <f>IF(AG42="","",AG42*AJ42)</f>
        <v/>
      </c>
      <c r="AL42" s="34">
        <f>IF(OR(AG42="",R42=0),"",MIN(IF(AS42="",9.9E+99,AS42),FLOOR(AK42/R42,1)))</f>
        <v/>
      </c>
      <c r="AM42" s="38">
        <f>IF(AL42="","",AL42*T42)</f>
        <v/>
      </c>
      <c r="AN42" s="36">
        <f>IF(OR(AG42="",R42=0),"",MIN(IF(AS42="",9.9E+99,AS42),AK42/R42))</f>
        <v/>
      </c>
      <c r="AO42" s="38">
        <f>IF(AN42="","",AN42*T42)</f>
        <v/>
      </c>
      <c r="AP42" s="40" t="n"/>
      <c r="AQ42" s="41" t="n"/>
      <c r="AR42" s="41" t="n"/>
      <c r="AS42" s="42" t="n"/>
      <c r="AT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U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V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W42" s="44" t="n"/>
      <c r="AX42" s="44" t="n"/>
    </row>
    <row r="43">
      <c r="A43" s="29" t="inlineStr">
        <is>
          <t>Gulf Authority Rakta</t>
        </is>
      </c>
      <c r="B43" s="29" t="inlineStr">
        <is>
          <t>United Arab Emirates</t>
        </is>
      </c>
      <c r="C43" s="30" t="inlineStr">
        <is>
          <t>Dubai Harbour Marina → Wynn Al Marjan Island arrival lagoon</t>
        </is>
      </c>
      <c r="D43" s="31" t="n">
        <v>49.8</v>
      </c>
      <c r="E43" s="26" t="n">
        <v>35</v>
      </c>
      <c r="F43" s="32" t="inlineStr">
        <is>
          <t>T3</t>
        </is>
      </c>
      <c r="G43" s="32" t="inlineStr">
        <is>
          <t>med-low</t>
        </is>
      </c>
      <c r="H43" s="19" t="n">
        <v>1</v>
      </c>
      <c r="I43" s="33">
        <f>60*D43/cruise_kt</f>
        <v/>
      </c>
      <c r="J43" s="33">
        <f>I43+turn_min+dwell_min</f>
        <v/>
      </c>
      <c r="K43" s="34">
        <f>MIN(15,FLOOR(60*service_hr/J43,1))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>
        <v>5217</v>
      </c>
      <c r="AH43" s="32" t="inlineStr">
        <is>
          <t>T3</t>
        </is>
      </c>
      <c r="AI43" s="32" t="inlineStr">
        <is>
          <t>med-low</t>
        </is>
      </c>
      <c r="AJ43" s="39" t="n">
        <v>0.1</v>
      </c>
      <c r="AK43" s="34">
        <f>IF(AG43="","",AG43*AJ43)</f>
        <v/>
      </c>
      <c r="AL43" s="34">
        <f>IF(OR(AG43="",R43=0),"",MIN(IF(AS43="",9.9E+99,AS43),FLOOR(AK43/R43,1)))</f>
        <v/>
      </c>
      <c r="AM43" s="38">
        <f>IF(AL43="","",AL43*T43)</f>
        <v/>
      </c>
      <c r="AN43" s="36">
        <f>IF(OR(AG43="",R43=0),"",MIN(IF(AS43="",9.9E+99,AS43),AK43/R43))</f>
        <v/>
      </c>
      <c r="AO43" s="38">
        <f>IF(AN43="","",AN43*T43)</f>
        <v/>
      </c>
      <c r="AP43" s="40" t="n"/>
      <c r="AQ43" s="41" t="n"/>
      <c r="AR43" s="41" t="n"/>
      <c r="AS43" s="42" t="n"/>
      <c r="AT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U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V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W43" s="44" t="n"/>
      <c r="AX43" s="44" t="n"/>
    </row>
    <row r="44">
      <c r="A44" s="29" t="inlineStr">
        <is>
          <t>Gulf Authority Rakta</t>
        </is>
      </c>
      <c r="B44" s="29" t="inlineStr">
        <is>
          <t>United Arab Emirates</t>
        </is>
      </c>
      <c r="C44" s="30" t="inlineStr">
        <is>
          <t>Ras Al Khaimah → Dubai Islands Marina</t>
        </is>
      </c>
      <c r="D44" s="31" t="n">
        <v>50</v>
      </c>
      <c r="E44" s="26" t="n">
        <v>35</v>
      </c>
      <c r="F44" s="32" t="inlineStr">
        <is>
          <t>T3</t>
        </is>
      </c>
      <c r="G44" s="32" t="inlineStr">
        <is>
          <t>med-low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MIN(15,FLOOR(60*service_hr/J44,1))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5217</v>
      </c>
      <c r="AH44" s="32" t="inlineStr">
        <is>
          <t>T3</t>
        </is>
      </c>
      <c r="AI44" s="32" t="inlineStr">
        <is>
          <t>med-low</t>
        </is>
      </c>
      <c r="AJ44" s="39" t="n">
        <v>0.1</v>
      </c>
      <c r="AK44" s="34">
        <f>IF(AG44="","",AG44*AJ44)</f>
        <v/>
      </c>
      <c r="AL44" s="34">
        <f>IF(OR(AG44="",R44=0),"",MIN(IF(AS44="",9.9E+99,AS44),FLOOR(AK44/R44,1)))</f>
        <v/>
      </c>
      <c r="AM44" s="38">
        <f>IF(AL44="","",AL44*T44)</f>
        <v/>
      </c>
      <c r="AN44" s="36">
        <f>IF(OR(AG44="",R44=0),"",MIN(IF(AS44="",9.9E+99,AS44),AK44/R44))</f>
        <v/>
      </c>
      <c r="AO44" s="38">
        <f>IF(AN44="","",AN44*T44)</f>
        <v/>
      </c>
      <c r="AP44" s="40" t="n"/>
      <c r="AQ44" s="41" t="n"/>
      <c r="AR44" s="41" t="n"/>
      <c r="AS44" s="42" t="n"/>
      <c r="AT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U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V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W44" s="44" t="n"/>
      <c r="AX44" s="44" t="n"/>
    </row>
    <row r="45">
      <c r="A45" s="29" t="inlineStr">
        <is>
          <t>Gulf Authority Rakta</t>
        </is>
      </c>
      <c r="B45" s="29" t="inlineStr">
        <is>
          <t>United Arab Emirates</t>
        </is>
      </c>
      <c r="C45" s="30" t="inlineStr">
        <is>
          <t>Ras Al Khaimah → Fujairah</t>
        </is>
      </c>
      <c r="D45" s="31" t="n">
        <v>54.7</v>
      </c>
      <c r="E45" s="26" t="n">
        <v>35</v>
      </c>
      <c r="F45" s="32" t="inlineStr">
        <is>
          <t>T3</t>
        </is>
      </c>
      <c r="G45" s="32" t="inlineStr">
        <is>
          <t>med-low</t>
        </is>
      </c>
      <c r="H45" s="19" t="n">
        <v>1</v>
      </c>
      <c r="I45" s="33">
        <f>60*D45/cruise_kt</f>
        <v/>
      </c>
      <c r="J45" s="33">
        <f>I45+turn_min+dwell_min</f>
        <v/>
      </c>
      <c r="K45" s="34">
        <f>MIN(15,FLOOR(60*service_hr/J45,1))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>
        <v>5217</v>
      </c>
      <c r="AH45" s="32" t="inlineStr">
        <is>
          <t>T3</t>
        </is>
      </c>
      <c r="AI45" s="32" t="inlineStr">
        <is>
          <t>med-low</t>
        </is>
      </c>
      <c r="AJ45" s="39" t="n">
        <v>0.1</v>
      </c>
      <c r="AK45" s="34">
        <f>IF(AG45="","",AG45*AJ45)</f>
        <v/>
      </c>
      <c r="AL45" s="34">
        <f>IF(OR(AG45="",R45=0),"",MIN(IF(AS45="",9.9E+99,AS45),FLOOR(AK45/R45,1)))</f>
        <v/>
      </c>
      <c r="AM45" s="38">
        <f>IF(AL45="","",AL45*T45)</f>
        <v/>
      </c>
      <c r="AN45" s="36">
        <f>IF(OR(AG45="",R45=0),"",MIN(IF(AS45="",9.9E+99,AS45),AK45/R45))</f>
        <v/>
      </c>
      <c r="AO45" s="38">
        <f>IF(AN45="","",AN45*T45)</f>
        <v/>
      </c>
      <c r="AP45" s="40" t="n"/>
      <c r="AQ45" s="41" t="n"/>
      <c r="AR45" s="41" t="n"/>
      <c r="AS45" s="42" t="n"/>
      <c r="AT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U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V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W45" s="44" t="n"/>
      <c r="AX45" s="44" t="n"/>
    </row>
    <row r="46">
      <c r="A46" s="45" t="inlineStr">
        <is>
          <t>TOTAL / median</t>
        </is>
      </c>
      <c r="T46" s="46">
        <f>SUM(T4:T45)</f>
        <v/>
      </c>
      <c r="AC46" s="46">
        <f>SUM(AC4:AC45)</f>
        <v/>
      </c>
      <c r="AD46" s="47">
        <f>IF(T46=0,"",AC46/T46)</f>
        <v/>
      </c>
      <c r="AL46" s="48">
        <f>SUM(AL4:AL45)</f>
        <v/>
      </c>
      <c r="AM46" s="46">
        <f>SUM(AM4:AM45)</f>
        <v/>
      </c>
    </row>
    <row r="48">
      <c r="A48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49">
      <c r="A49" s="24" t="inlineStr">
        <is>
          <t>Market</t>
        </is>
      </c>
      <c r="B49" s="24" t="inlineStr">
        <is>
          <t>Fleet basis</t>
        </is>
      </c>
      <c r="C49" s="24" t="inlineStr">
        <is>
          <t>Raw vessels (sum)</t>
        </is>
      </c>
      <c r="D49" s="24" t="inlineStr">
        <is>
          <t>Fleet (rounded once)</t>
        </is>
      </c>
      <c r="E49" s="24" t="inlineStr">
        <is>
          <t>Market rev/yr (raw sum)</t>
        </is>
      </c>
    </row>
    <row r="50">
      <c r="A50" s="25" t="inlineStr">
        <is>
          <t>Gulf Authority Rakta</t>
        </is>
      </c>
      <c r="B50" s="13" t="inlineStr">
        <is>
          <t>network_sum / ceil</t>
        </is>
      </c>
      <c r="C50" s="23">
        <f>SUMIFS(AN4:AN45,A4:A45,"Gulf Authority Rakta",AP4:AP45,"=",AQ4:AQ45,"=",AR4:AR45,"=")</f>
        <v/>
      </c>
      <c r="D50" s="49">
        <f>IF(C50=0,0,CEILING(C50,1))</f>
        <v/>
      </c>
      <c r="E50" s="50">
        <f>SUMIFS(AO4:AO45,A4:A45,"Gulf Authority Rakta",AP4:AP45,"=",AQ4:AQ45,"=",AR4:AR45,"=")</f>
        <v/>
      </c>
    </row>
    <row r="51">
      <c r="A51" s="45" t="inlineStr">
        <is>
          <t>GROUNDED FLOOR (PUBLISHED)</t>
        </is>
      </c>
      <c r="D51" s="48">
        <f>SUM(D50:D50)</f>
        <v/>
      </c>
      <c r="E51" s="46">
        <f>SUM(E50:E50)</f>
        <v/>
      </c>
    </row>
    <row r="53">
      <c r="A53" s="51" t="inlineStr">
        <is>
          <t>Held for Quanta-LR (&gt;70nm, roadmap H2 2026+):</t>
        </is>
      </c>
      <c r="C53" s="52" t="inlineStr">
        <is>
          <t>Ras Al Khaimah → Abu Dhabi (112.0nm)</t>
        </is>
      </c>
    </row>
    <row r="54">
      <c r="C54" s="52" t="inlineStr">
        <is>
          <t>Ras Al Khaimah → Muscat (263.5nm)</t>
        </is>
      </c>
    </row>
    <row r="55">
      <c r="C55" s="52" t="inlineStr">
        <is>
          <t>Ras Al Khaimah → Doha (240.7nm)</t>
        </is>
      </c>
    </row>
    <row r="56">
      <c r="C56" s="52" t="inlineStr">
        <is>
          <t>Ras Al Khaimah → Manama (289.7nm)</t>
        </is>
      </c>
    </row>
  </sheetData>
  <mergeCells count="2">
    <mergeCell ref="A1:L1"/>
    <mergeCell ref="A48:L4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3" t="inlineStr">
        <is>
          <t>Note</t>
        </is>
      </c>
      <c r="B26" s="5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2026-06-22T01:17:35Z</dcterms:created>
  <dcterms:modified xsi:type="dcterms:W3CDTF">2026-06-22T01:17:35Z</dcterms:modified>
</cp:coreProperties>
</file>