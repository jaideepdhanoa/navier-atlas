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economics'!$D$51</definedName>
    <definedName name="som_floor_rev">'Corridor economics'!$E$51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Rakta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Rakta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Rakta</t>
        </is>
      </c>
      <c r="B4" s="29" t="inlineStr">
        <is>
          <t>United Arab Emirates</t>
        </is>
      </c>
      <c r="C4" s="30" t="inlineStr">
        <is>
          <t>Al Marjan Island public arrival marina → Rixos Bab Al Bahr beach jetty</t>
        </is>
      </c>
      <c r="D4" s="31" t="n">
        <v>0.2</v>
      </c>
      <c r="E4" s="26" t="n">
        <v>35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5217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Rakta</t>
        </is>
      </c>
      <c r="B5" s="29" t="inlineStr">
        <is>
          <t>United Arab Emirates</t>
        </is>
      </c>
      <c r="C5" s="30" t="inlineStr">
        <is>
          <t>Ras Al Khaimah Harbour → RAK Corniche public pier</t>
        </is>
      </c>
      <c r="D5" s="31" t="n">
        <v>0.4</v>
      </c>
      <c r="E5" s="26" t="n">
        <v>35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5217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Gulf Authority Rakta</t>
        </is>
      </c>
      <c r="B6" s="29" t="inlineStr">
        <is>
          <t>United Arab Emirates</t>
        </is>
      </c>
      <c r="C6" s="30" t="inlineStr">
        <is>
          <t>Marjan Island Resort &amp; Spa beach jetty → Hampton by Hilton Marjan Island beach landing</t>
        </is>
      </c>
      <c r="D6" s="31" t="n">
        <v>0.4</v>
      </c>
      <c r="E6" s="26" t="n">
        <v>35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5217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Gulf Authority Rakta</t>
        </is>
      </c>
      <c r="B7" s="29" t="inlineStr">
        <is>
          <t>United Arab Emirates</t>
        </is>
      </c>
      <c r="C7" s="30" t="inlineStr">
        <is>
          <t>Wynn Al Marjan Island arrival lagoon → Marjan Island Resort &amp; Spa beach jetty</t>
        </is>
      </c>
      <c r="D7" s="31" t="n">
        <v>0.6</v>
      </c>
      <c r="E7" s="26" t="n">
        <v>35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5217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Gulf Authority Rakta</t>
        </is>
      </c>
      <c r="B8" s="29" t="inlineStr">
        <is>
          <t>United Arab Emirates</t>
        </is>
      </c>
      <c r="C8" s="30" t="inlineStr">
        <is>
          <t>Anantara Mina Al Arab Ras Al Khaimah Resort jetty → InterContinental Ras Al Khaimah Mina Al Arab Resort &amp; Spa jetty</t>
        </is>
      </c>
      <c r="D8" s="31" t="n">
        <v>0.6</v>
      </c>
      <c r="E8" s="26" t="n">
        <v>35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5217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Gulf Authority Rakta</t>
        </is>
      </c>
      <c r="B9" s="29" t="inlineStr">
        <is>
          <t>United Arab Emirates</t>
        </is>
      </c>
      <c r="C9" s="30" t="inlineStr">
        <is>
          <t>Al Hamra Marina &amp; Royal Yacht Club RAK → Waldorf Astoria Ras Al Khaimah jetty</t>
        </is>
      </c>
      <c r="D9" s="31" t="n">
        <v>0.7</v>
      </c>
      <c r="E9" s="26" t="n">
        <v>35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5217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Gulf Authority Rakta</t>
        </is>
      </c>
      <c r="B10" s="29" t="inlineStr">
        <is>
          <t>United Arab Emirates</t>
        </is>
      </c>
      <c r="C10" s="30" t="inlineStr">
        <is>
          <t>Al Marjan Island public arrival marina → Hampton by Hilton Marjan Island beach landing</t>
        </is>
      </c>
      <c r="D10" s="31" t="n">
        <v>0.8</v>
      </c>
      <c r="E10" s="26" t="n">
        <v>35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5217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Gulf Authority Rakta</t>
        </is>
      </c>
      <c r="B11" s="29" t="inlineStr">
        <is>
          <t>United Arab Emirates</t>
        </is>
      </c>
      <c r="C11" s="30" t="inlineStr">
        <is>
          <t>Mina Al Arab marina / lagoon basin → InterContinental Ras Al Khaimah Mina Al Arab Resort &amp; Spa jetty</t>
        </is>
      </c>
      <c r="D11" s="31" t="n">
        <v>0.9</v>
      </c>
      <c r="E11" s="26" t="n">
        <v>35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5217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Gulf Authority Rakta</t>
        </is>
      </c>
      <c r="B12" s="29" t="inlineStr">
        <is>
          <t>United Arab Emirates</t>
        </is>
      </c>
      <c r="C12" s="30" t="inlineStr">
        <is>
          <t>Anantara Mina Al Arab Ras Al Khaimah Resort jetty → Mina Al Arab marina / lagoon basin</t>
        </is>
      </c>
      <c r="D12" s="31" t="n">
        <v>0.9</v>
      </c>
      <c r="E12" s="26" t="n">
        <v>35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5217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Gulf Authority Rakta</t>
        </is>
      </c>
      <c r="B13" s="29" t="inlineStr">
        <is>
          <t>United Arab Emirates</t>
        </is>
      </c>
      <c r="C13" s="30" t="inlineStr">
        <is>
          <t>Rixos Bab Al Bahr beach jetty → Hampton by Hilton Marjan Island beach landing</t>
        </is>
      </c>
      <c r="D13" s="31" t="n">
        <v>1</v>
      </c>
      <c r="E13" s="26" t="n">
        <v>35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5217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Gulf Authority Rakta</t>
        </is>
      </c>
      <c r="B14" s="29" t="inlineStr">
        <is>
          <t>United Arab Emirates</t>
        </is>
      </c>
      <c r="C14" s="30" t="inlineStr">
        <is>
          <t>Wynn Al Marjan Island arrival lagoon → Hampton by Hilton Marjan Island beach landing</t>
        </is>
      </c>
      <c r="D14" s="31" t="n">
        <v>1</v>
      </c>
      <c r="E14" s="26" t="n">
        <v>35</v>
      </c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5217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n"/>
      <c r="AX14" s="44" t="n"/>
    </row>
    <row r="15">
      <c r="A15" s="29" t="inlineStr">
        <is>
          <t>Gulf Authority Rakta</t>
        </is>
      </c>
      <c r="B15" s="29" t="inlineStr">
        <is>
          <t>United Arab Emirates</t>
        </is>
      </c>
      <c r="C15" s="30" t="inlineStr">
        <is>
          <t>Ras Al Khaimah Harbour → Hilton Garden Inn Ras Al Khaimah (Corniche) jetty</t>
        </is>
      </c>
      <c r="D15" s="31" t="n">
        <v>1.1</v>
      </c>
      <c r="E15" s="26" t="n">
        <v>35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5217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Gulf Authority Rakta</t>
        </is>
      </c>
      <c r="B16" s="29" t="inlineStr">
        <is>
          <t>United Arab Emirates</t>
        </is>
      </c>
      <c r="C16" s="30" t="inlineStr">
        <is>
          <t>Hilton Garden Inn Ras Al Khaimah (Corniche) jetty → RAK Corniche public pier</t>
        </is>
      </c>
      <c r="D16" s="31" t="n">
        <v>1.2</v>
      </c>
      <c r="E16" s="26" t="n">
        <v>35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5217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Gulf Authority Rakta</t>
        </is>
      </c>
      <c r="B17" s="29" t="inlineStr">
        <is>
          <t>United Arab Emirates</t>
        </is>
      </c>
      <c r="C17" s="30" t="inlineStr">
        <is>
          <t>Bin Majid Beach Resort jetty → Acacia by Bin Majid jetty</t>
        </is>
      </c>
      <c r="D17" s="31" t="n">
        <v>1.2</v>
      </c>
      <c r="E17" s="26" t="n">
        <v>35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5217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Gulf Authority Rakta</t>
        </is>
      </c>
      <c r="B18" s="29" t="inlineStr">
        <is>
          <t>United Arab Emirates</t>
        </is>
      </c>
      <c r="C18" s="30" t="inlineStr">
        <is>
          <t>Al Zorah Marina 1 → Ajman Marina</t>
        </is>
      </c>
      <c r="D18" s="31" t="n">
        <v>1.6</v>
      </c>
      <c r="E18" s="26" t="n">
        <v>35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5217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Gulf Authority Rakta</t>
        </is>
      </c>
      <c r="B19" s="29" t="inlineStr">
        <is>
          <t>United Arab Emirates</t>
        </is>
      </c>
      <c r="C19" s="30" t="inlineStr">
        <is>
          <t>Raksa → Ras Al Khaimah Harbour</t>
        </is>
      </c>
      <c r="D19" s="31" t="n">
        <v>1.9</v>
      </c>
      <c r="E19" s="26" t="n">
        <v>35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5217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n"/>
      <c r="AX19" s="44" t="n"/>
    </row>
    <row r="20">
      <c r="A20" s="29" t="inlineStr">
        <is>
          <t>Gulf Authority Rakta</t>
        </is>
      </c>
      <c r="B20" s="29" t="inlineStr">
        <is>
          <t>United Arab Emirates</t>
        </is>
      </c>
      <c r="C20" s="30" t="inlineStr">
        <is>
          <t>Sha'am Fishing Boat Harbour → Sha'am coastal staging point</t>
        </is>
      </c>
      <c r="D20" s="31" t="n">
        <v>2.1</v>
      </c>
      <c r="E20" s="26" t="n">
        <v>35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5217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n"/>
      <c r="AX20" s="44" t="n"/>
    </row>
    <row r="21">
      <c r="A21" s="29" t="inlineStr">
        <is>
          <t>Gulf Authority Rakta</t>
        </is>
      </c>
      <c r="B21" s="29" t="inlineStr">
        <is>
          <t>United Arab Emirates</t>
        </is>
      </c>
      <c r="C21" s="30" t="inlineStr">
        <is>
          <t>The Cove Rotana Resort jetty → Anantara Mina Al Arab Ras Al Khaimah Resort jetty</t>
        </is>
      </c>
      <c r="D21" s="31" t="n">
        <v>2.2</v>
      </c>
      <c r="E21" s="26" t="n">
        <v>35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5217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n"/>
      <c r="AX21" s="44" t="n"/>
    </row>
    <row r="22">
      <c r="A22" s="29" t="inlineStr">
        <is>
          <t>Gulf Authority Rakta</t>
        </is>
      </c>
      <c r="B22" s="29" t="inlineStr">
        <is>
          <t>United Arab Emirates</t>
        </is>
      </c>
      <c r="C22" s="30" t="inlineStr">
        <is>
          <t>ميناء صيادين غليلة → Sha'am Fishing Boat Harbour</t>
        </is>
      </c>
      <c r="D22" s="31" t="n">
        <v>2.5</v>
      </c>
      <c r="E22" s="26" t="n">
        <v>35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5217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n"/>
      <c r="AX22" s="44" t="n"/>
    </row>
    <row r="23">
      <c r="A23" s="29" t="inlineStr">
        <is>
          <t>Gulf Authority Rakta</t>
        </is>
      </c>
      <c r="B23" s="29" t="inlineStr">
        <is>
          <t>United Arab Emirates</t>
        </is>
      </c>
      <c r="C23" s="30" t="inlineStr">
        <is>
          <t>Daba Port → Dibba Al-Hisn Marina - Sharjah</t>
        </is>
      </c>
      <c r="D23" s="31" t="n">
        <v>2.7</v>
      </c>
      <c r="E23" s="26" t="n">
        <v>35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5217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n"/>
      <c r="AX23" s="44" t="n"/>
    </row>
    <row r="24">
      <c r="A24" s="29" t="inlineStr">
        <is>
          <t>Gulf Authority Rakta</t>
        </is>
      </c>
      <c r="B24" s="29" t="inlineStr">
        <is>
          <t>United Arab Emirates</t>
        </is>
      </c>
      <c r="C24" s="30" t="inlineStr">
        <is>
          <t>ميناء صيادين غليلة → ميناء صيادين خورخوير</t>
        </is>
      </c>
      <c r="D24" s="31" t="n">
        <v>2.8</v>
      </c>
      <c r="E24" s="26" t="n">
        <v>35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5217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n"/>
      <c r="AX24" s="44" t="n"/>
    </row>
    <row r="25">
      <c r="A25" s="29" t="inlineStr">
        <is>
          <t>Gulf Authority Rakta</t>
        </is>
      </c>
      <c r="B25" s="29" t="inlineStr">
        <is>
          <t>United Arab Emirates</t>
        </is>
      </c>
      <c r="C25" s="30" t="inlineStr">
        <is>
          <t>Acacia by Bin Majid jetty → The Cove Rotana Resort jetty</t>
        </is>
      </c>
      <c r="D25" s="31" t="n">
        <v>2.9</v>
      </c>
      <c r="E25" s="26" t="n">
        <v>35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5217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n"/>
      <c r="AX25" s="44" t="n"/>
    </row>
    <row r="26">
      <c r="A26" s="29" t="inlineStr">
        <is>
          <t>Gulf Authority Rakta</t>
        </is>
      </c>
      <c r="B26" s="29" t="inlineStr">
        <is>
          <t>United Arab Emirates</t>
        </is>
      </c>
      <c r="C26" s="30" t="inlineStr">
        <is>
          <t>Raksa → Hilton Garden Inn Ras Al Khaimah (Corniche) jetty</t>
        </is>
      </c>
      <c r="D26" s="31" t="n">
        <v>3</v>
      </c>
      <c r="E26" s="26" t="n">
        <v>35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5217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n"/>
      <c r="AX26" s="44" t="n"/>
    </row>
    <row r="27">
      <c r="A27" s="29" t="inlineStr">
        <is>
          <t>Gulf Authority Rakta</t>
        </is>
      </c>
      <c r="B27" s="29" t="inlineStr">
        <is>
          <t>United Arab Emirates</t>
        </is>
      </c>
      <c r="C27" s="30" t="inlineStr">
        <is>
          <t>Bin Majid Beach Resort jetty → The Cove Rotana Resort jetty</t>
        </is>
      </c>
      <c r="D27" s="31" t="n">
        <v>3</v>
      </c>
      <c r="E27" s="26" t="n">
        <v>35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5217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n"/>
      <c r="AX27" s="44" t="n"/>
    </row>
    <row r="28">
      <c r="A28" s="29" t="inlineStr">
        <is>
          <t>Gulf Authority Rakta</t>
        </is>
      </c>
      <c r="B28" s="29" t="inlineStr">
        <is>
          <t>United Arab Emirates</t>
        </is>
      </c>
      <c r="C28" s="30" t="inlineStr">
        <is>
          <t>Al Zorah Marina 1 → Hamriyah Port Main Harbour</t>
        </is>
      </c>
      <c r="D28" s="31" t="n">
        <v>3.2</v>
      </c>
      <c r="E28" s="26" t="n">
        <v>35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5217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n"/>
      <c r="AX28" s="44" t="n"/>
    </row>
    <row r="29">
      <c r="A29" s="29" t="inlineStr">
        <is>
          <t>Gulf Authority Rakta</t>
        </is>
      </c>
      <c r="B29" s="29" t="inlineStr">
        <is>
          <t>United Arab Emirates</t>
        </is>
      </c>
      <c r="C29" s="30" t="inlineStr">
        <is>
          <t>Sha'am coastal staging point → ميناء صيادين غليلة</t>
        </is>
      </c>
      <c r="D29" s="31" t="n">
        <v>3.9</v>
      </c>
      <c r="E29" s="26" t="n">
        <v>35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5217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n"/>
      <c r="AX29" s="44" t="n"/>
    </row>
    <row r="30">
      <c r="A30" s="29" t="inlineStr">
        <is>
          <t>Gulf Authority Rakta</t>
        </is>
      </c>
      <c r="B30" s="29" t="inlineStr">
        <is>
          <t>United Arab Emirates</t>
        </is>
      </c>
      <c r="C30" s="30" t="inlineStr">
        <is>
          <t>Ajman Marina → Hamriyah Port Main Harbour</t>
        </is>
      </c>
      <c r="D30" s="31" t="n">
        <v>3.9</v>
      </c>
      <c r="E30" s="26" t="n">
        <v>35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5217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Gulf Authority Rakta</t>
        </is>
      </c>
      <c r="B31" s="29" t="inlineStr">
        <is>
          <t>United Arab Emirates</t>
        </is>
      </c>
      <c r="C31" s="30" t="inlineStr">
        <is>
          <t>ميناء صيادين خورخوير → Sha'am Fishing Boat Harbour</t>
        </is>
      </c>
      <c r="D31" s="31" t="n">
        <v>4.3</v>
      </c>
      <c r="E31" s="26" t="n">
        <v>35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5217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Gulf Authority Rakta</t>
        </is>
      </c>
      <c r="B32" s="29" t="inlineStr">
        <is>
          <t>United Arab Emirates</t>
        </is>
      </c>
      <c r="C32" s="30" t="inlineStr">
        <is>
          <t>Zighy Marina → Dibba Al-Hisn Marina - Sharjah</t>
        </is>
      </c>
      <c r="D32" s="31" t="n">
        <v>5.3</v>
      </c>
      <c r="E32" s="26" t="n">
        <v>35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5217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n"/>
      <c r="AX32" s="44" t="n"/>
    </row>
    <row r="33">
      <c r="A33" s="29" t="inlineStr">
        <is>
          <t>Gulf Authority Rakta</t>
        </is>
      </c>
      <c r="B33" s="29" t="inlineStr">
        <is>
          <t>United Arab Emirates</t>
        </is>
      </c>
      <c r="C33" s="30" t="inlineStr">
        <is>
          <t>Gumda Fishing Harbour → Sha'am coastal staging point</t>
        </is>
      </c>
      <c r="D33" s="31" t="n">
        <v>5.3</v>
      </c>
      <c r="E33" s="26" t="n">
        <v>35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5217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n"/>
      <c r="AX33" s="44" t="n"/>
    </row>
    <row r="34">
      <c r="A34" s="29" t="inlineStr">
        <is>
          <t>Gulf Authority Rakta</t>
        </is>
      </c>
      <c r="B34" s="29" t="inlineStr">
        <is>
          <t>United Arab Emirates</t>
        </is>
      </c>
      <c r="C34" s="30" t="inlineStr">
        <is>
          <t>Gumda Fishing Harbour → Sha'am Fishing Boat Harbour</t>
        </is>
      </c>
      <c r="D34" s="31" t="n">
        <v>7.2</v>
      </c>
      <c r="E34" s="26" t="n">
        <v>35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5217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n"/>
      <c r="AX34" s="44" t="n"/>
    </row>
    <row r="35">
      <c r="A35" s="29" t="inlineStr">
        <is>
          <t>Gulf Authority Rakta</t>
        </is>
      </c>
      <c r="B35" s="29" t="inlineStr">
        <is>
          <t>United Arab Emirates</t>
        </is>
      </c>
      <c r="C35" s="30" t="inlineStr">
        <is>
          <t>UAQ Marine Club → Hamriyah Port Main Harbour</t>
        </is>
      </c>
      <c r="D35" s="31" t="n">
        <v>10.5</v>
      </c>
      <c r="E35" s="26" t="n">
        <v>35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5217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n"/>
      <c r="AX35" s="44" t="n"/>
    </row>
    <row r="36">
      <c r="A36" s="29" t="inlineStr">
        <is>
          <t>Gulf Authority Rakta</t>
        </is>
      </c>
      <c r="B36" s="29" t="inlineStr">
        <is>
          <t>United Arab Emirates</t>
        </is>
      </c>
      <c r="C36" s="30" t="inlineStr">
        <is>
          <t>UAQ Marine Club → Rixos Bab Al Bahr beach jetty</t>
        </is>
      </c>
      <c r="D36" s="31" t="n">
        <v>11.8</v>
      </c>
      <c r="E36" s="26" t="n">
        <v>35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5217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Gulf Authority Rakta</t>
        </is>
      </c>
      <c r="B37" s="29" t="inlineStr">
        <is>
          <t>United Arab Emirates</t>
        </is>
      </c>
      <c r="C37" s="30" t="inlineStr">
        <is>
          <t>Ras Al Khaimah → ميناء صيادين غليلة</t>
        </is>
      </c>
      <c r="D37" s="31" t="n">
        <v>11.9</v>
      </c>
      <c r="E37" s="26" t="n">
        <v>35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5217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Gulf Authority Rakta</t>
        </is>
      </c>
      <c r="B38" s="29" t="inlineStr">
        <is>
          <t>United Arab Emirates</t>
        </is>
      </c>
      <c r="C38" s="30" t="inlineStr">
        <is>
          <t>Ras Al Khaimah → Al Hamra Marina &amp; Royal Yacht Club RAK</t>
        </is>
      </c>
      <c r="D38" s="31" t="n">
        <v>13.6</v>
      </c>
      <c r="E38" s="26" t="n">
        <v>35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5217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n"/>
      <c r="AX38" s="44" t="n"/>
    </row>
    <row r="39">
      <c r="A39" s="29" t="inlineStr">
        <is>
          <t>Gulf Authority Rakta</t>
        </is>
      </c>
      <c r="B39" s="29" t="inlineStr">
        <is>
          <t>United Arab Emirates</t>
        </is>
      </c>
      <c r="C39" s="30" t="inlineStr">
        <is>
          <t>Ras Al Khaimah → Al Marjan Island public arrival marina</t>
        </is>
      </c>
      <c r="D39" s="31" t="n">
        <v>16</v>
      </c>
      <c r="E39" s="26" t="n">
        <v>35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5217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n"/>
      <c r="AX39" s="44" t="n"/>
    </row>
    <row r="40">
      <c r="A40" s="29" t="inlineStr">
        <is>
          <t>Gulf Authority Rakta</t>
        </is>
      </c>
      <c r="B40" s="29" t="inlineStr">
        <is>
          <t>United Arab Emirates</t>
        </is>
      </c>
      <c r="C40" s="30" t="inlineStr">
        <is>
          <t>Ras Al Khaimah → UAQ Marine Club</t>
        </is>
      </c>
      <c r="D40" s="31" t="n">
        <v>26.6</v>
      </c>
      <c r="E40" s="26" t="n">
        <v>35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5217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Gulf Authority Rakta</t>
        </is>
      </c>
      <c r="B41" s="29" t="inlineStr">
        <is>
          <t>United Arab Emirates</t>
        </is>
      </c>
      <c r="C41" s="30" t="inlineStr">
        <is>
          <t>Ras Al Khaimah → Ajman Marina</t>
        </is>
      </c>
      <c r="D41" s="31" t="n">
        <v>39</v>
      </c>
      <c r="E41" s="26" t="n">
        <v>35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5217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Gulf Authority Rakta</t>
        </is>
      </c>
      <c r="B42" s="29" t="inlineStr">
        <is>
          <t>United Arab Emirates</t>
        </is>
      </c>
      <c r="C42" s="30" t="inlineStr">
        <is>
          <t>Ras Al Khaimah → Sharjah</t>
        </is>
      </c>
      <c r="D42" s="31" t="n">
        <v>42</v>
      </c>
      <c r="E42" s="26" t="n">
        <v>35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5217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n"/>
      <c r="AX42" s="44" t="n"/>
    </row>
    <row r="43">
      <c r="A43" s="29" t="inlineStr">
        <is>
          <t>Gulf Authority Rakta</t>
        </is>
      </c>
      <c r="B43" s="29" t="inlineStr">
        <is>
          <t>United Arab Emirates</t>
        </is>
      </c>
      <c r="C43" s="30" t="inlineStr">
        <is>
          <t>Dubai Harbour Marina → Wynn Al Marjan Island arrival lagoon</t>
        </is>
      </c>
      <c r="D43" s="31" t="n">
        <v>49.8</v>
      </c>
      <c r="E43" s="26" t="n">
        <v>35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5217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Gulf Authority Rakta</t>
        </is>
      </c>
      <c r="B44" s="29" t="inlineStr">
        <is>
          <t>United Arab Emirates</t>
        </is>
      </c>
      <c r="C44" s="30" t="inlineStr">
        <is>
          <t>Ras Al Khaimah → Dubai Islands Marina</t>
        </is>
      </c>
      <c r="D44" s="31" t="n">
        <v>50</v>
      </c>
      <c r="E44" s="26" t="n">
        <v>35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5217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n"/>
      <c r="AX44" s="44" t="n"/>
    </row>
    <row r="45">
      <c r="A45" s="29" t="inlineStr">
        <is>
          <t>Gulf Authority Rakta</t>
        </is>
      </c>
      <c r="B45" s="29" t="inlineStr">
        <is>
          <t>United Arab Emirates</t>
        </is>
      </c>
      <c r="C45" s="30" t="inlineStr">
        <is>
          <t>Ras Al Khaimah → Fujairah</t>
        </is>
      </c>
      <c r="D45" s="31" t="n">
        <v>54.7</v>
      </c>
      <c r="E45" s="26" t="n">
        <v>35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5217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45" t="inlineStr">
        <is>
          <t>TOTAL / median</t>
        </is>
      </c>
      <c r="T46" s="46">
        <f>SUM(T4:T45)</f>
        <v/>
      </c>
      <c r="AC46" s="46">
        <f>SUM(AC4:AC45)</f>
        <v/>
      </c>
      <c r="AD46" s="47">
        <f>IF(T46=0,"",AC46/T46)</f>
        <v/>
      </c>
      <c r="AL46" s="48">
        <f>SUM(AL4:AL45)</f>
        <v/>
      </c>
      <c r="AM46" s="46">
        <f>SUM(AM4:AM45)</f>
        <v/>
      </c>
    </row>
    <row r="48">
      <c r="A4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9">
      <c r="A49" s="24" t="inlineStr">
        <is>
          <t>Market</t>
        </is>
      </c>
      <c r="B49" s="24" t="inlineStr">
        <is>
          <t>Fleet basis</t>
        </is>
      </c>
      <c r="C49" s="24" t="inlineStr">
        <is>
          <t>Raw vessels (sum)</t>
        </is>
      </c>
      <c r="D49" s="24" t="inlineStr">
        <is>
          <t>Fleet (rounded once)</t>
        </is>
      </c>
      <c r="E49" s="24" t="inlineStr">
        <is>
          <t>Market rev/yr (raw sum)</t>
        </is>
      </c>
    </row>
    <row r="50">
      <c r="A50" s="25" t="inlineStr">
        <is>
          <t>Gulf Authority Rakta</t>
        </is>
      </c>
      <c r="B50" s="13" t="inlineStr">
        <is>
          <t>network_sum / ceil</t>
        </is>
      </c>
      <c r="C50" s="23">
        <f>SUMIFS(AN4:AN45,A4:A45,"Gulf Authority Rakta",AP4:AP45,"=",AQ4:AQ45,"=",AR4:AR45,"=")</f>
        <v/>
      </c>
      <c r="D50" s="49">
        <f>IF(C50=0,0,CEILING(C50,1))</f>
        <v/>
      </c>
      <c r="E50" s="50">
        <f>SUMIFS(AO4:AO45,A4:A45,"Gulf Authority Rakta",AP4:AP45,"=",AQ4:AQ45,"=",AR4:AR45,"=")</f>
        <v/>
      </c>
    </row>
    <row r="51">
      <c r="A51" s="45" t="inlineStr">
        <is>
          <t>GROUNDED FLOOR (PUBLISHED)</t>
        </is>
      </c>
      <c r="D51" s="48">
        <f>SUM(D50:D50)</f>
        <v/>
      </c>
      <c r="E51" s="46">
        <f>SUM(E50:E50)</f>
        <v/>
      </c>
    </row>
    <row r="53">
      <c r="A53" s="51" t="inlineStr">
        <is>
          <t>Held for Quanta-LR (&gt;70nm, roadmap H2 2026+):</t>
        </is>
      </c>
      <c r="C53" s="52" t="inlineStr">
        <is>
          <t>Ras Al Khaimah → Abu Dhabi (112.0nm)</t>
        </is>
      </c>
    </row>
    <row r="54">
      <c r="C54" s="52" t="inlineStr">
        <is>
          <t>Ras Al Khaimah → Muscat (263.5nm)</t>
        </is>
      </c>
    </row>
    <row r="55">
      <c r="C55" s="52" t="inlineStr">
        <is>
          <t>Ras Al Khaimah → Doha (240.7nm)</t>
        </is>
      </c>
    </row>
    <row r="56">
      <c r="C56" s="52" t="inlineStr">
        <is>
          <t>Ras Al Khaimah → Manama (289.7nm)</t>
        </is>
      </c>
    </row>
  </sheetData>
  <mergeCells count="2">
    <mergeCell ref="A1:L1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2026-06-22T00:41:38Z</dcterms:created>
  <dcterms:modified xsi:type="dcterms:W3CDTF">2026-06-22T00:41:38Z</dcterms:modified>
</cp:coreProperties>
</file>